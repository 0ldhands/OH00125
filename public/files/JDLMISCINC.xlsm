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erno\Documents\Excel Projects\JDL ASSIST\JDL ASSIST\"/>
    </mc:Choice>
  </mc:AlternateContent>
  <xr:revisionPtr revIDLastSave="0" documentId="13_ncr:1_{5843FB73-EED0-446F-9A80-352366F64E2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JDL PROCESSING FEES MASTER" sheetId="2" r:id="rId1"/>
    <sheet name="JDL Misc Income" sheetId="1" r:id="rId2"/>
    <sheet name="JDL Income Page - 1" sheetId="107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107" l="1"/>
  <c r="I28" i="107"/>
  <c r="H28" i="107"/>
  <c r="K10" i="1"/>
  <c r="K9" i="1"/>
  <c r="K8" i="1"/>
  <c r="K7" i="1"/>
  <c r="K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6" i="1"/>
  <c r="F7" i="1"/>
  <c r="F8" i="1"/>
  <c r="F9" i="1"/>
  <c r="I9" i="1" s="1"/>
  <c r="F10" i="1"/>
  <c r="F11" i="1"/>
  <c r="H11" i="1" s="1"/>
  <c r="F12" i="1"/>
  <c r="H12" i="1" s="1"/>
  <c r="F13" i="1"/>
  <c r="H13" i="1" s="1"/>
  <c r="F14" i="1"/>
  <c r="H14" i="1" s="1"/>
  <c r="F15" i="1"/>
  <c r="F16" i="1"/>
  <c r="F17" i="1"/>
  <c r="I17" i="1" s="1"/>
  <c r="F18" i="1"/>
  <c r="F19" i="1"/>
  <c r="H19" i="1" s="1"/>
  <c r="F20" i="1"/>
  <c r="H20" i="1" s="1"/>
  <c r="F21" i="1"/>
  <c r="H21" i="1" s="1"/>
  <c r="F22" i="1"/>
  <c r="H22" i="1" s="1"/>
  <c r="F23" i="1"/>
  <c r="I23" i="1" s="1"/>
  <c r="F24" i="1"/>
  <c r="I24" i="1" s="1"/>
  <c r="F25" i="1"/>
  <c r="I25" i="1" s="1"/>
  <c r="F26" i="1"/>
  <c r="I26" i="1" s="1"/>
  <c r="F27" i="1"/>
  <c r="H27" i="1" s="1"/>
  <c r="F28" i="1"/>
  <c r="H28" i="1" s="1"/>
  <c r="F29" i="1"/>
  <c r="H29" i="1" s="1"/>
  <c r="F30" i="1"/>
  <c r="H30" i="1" s="1"/>
  <c r="F31" i="1"/>
  <c r="I31" i="1" s="1"/>
  <c r="F32" i="1"/>
  <c r="I32" i="1" s="1"/>
  <c r="F33" i="1"/>
  <c r="I33" i="1" s="1"/>
  <c r="F34" i="1"/>
  <c r="I34" i="1" s="1"/>
  <c r="F35" i="1"/>
  <c r="H35" i="1" s="1"/>
  <c r="F36" i="1"/>
  <c r="H36" i="1" s="1"/>
  <c r="F37" i="1"/>
  <c r="H37" i="1" s="1"/>
  <c r="F38" i="1"/>
  <c r="H38" i="1" s="1"/>
  <c r="F39" i="1"/>
  <c r="I39" i="1" s="1"/>
  <c r="F40" i="1"/>
  <c r="I40" i="1" s="1"/>
  <c r="F41" i="1"/>
  <c r="I41" i="1" s="1"/>
  <c r="F42" i="1"/>
  <c r="I42" i="1" s="1"/>
  <c r="F43" i="1"/>
  <c r="H43" i="1" s="1"/>
  <c r="F44" i="1"/>
  <c r="H44" i="1" s="1"/>
  <c r="F45" i="1"/>
  <c r="H45" i="1" s="1"/>
  <c r="F46" i="1"/>
  <c r="H46" i="1" s="1"/>
  <c r="F47" i="1"/>
  <c r="I47" i="1" s="1"/>
  <c r="F48" i="1"/>
  <c r="I48" i="1" s="1"/>
  <c r="F49" i="1"/>
  <c r="I49" i="1" s="1"/>
  <c r="F50" i="1"/>
  <c r="I50" i="1" s="1"/>
  <c r="F51" i="1"/>
  <c r="H51" i="1" s="1"/>
  <c r="F52" i="1"/>
  <c r="H52" i="1" s="1"/>
  <c r="F53" i="1"/>
  <c r="H53" i="1" s="1"/>
  <c r="F54" i="1"/>
  <c r="H54" i="1" s="1"/>
  <c r="F55" i="1"/>
  <c r="I55" i="1" s="1"/>
  <c r="F56" i="1"/>
  <c r="I56" i="1" s="1"/>
  <c r="F57" i="1"/>
  <c r="I57" i="1" s="1"/>
  <c r="F58" i="1"/>
  <c r="I58" i="1" s="1"/>
  <c r="F59" i="1"/>
  <c r="H59" i="1" s="1"/>
  <c r="F60" i="1"/>
  <c r="H60" i="1" s="1"/>
  <c r="F61" i="1"/>
  <c r="H61" i="1" s="1"/>
  <c r="F62" i="1"/>
  <c r="H62" i="1" s="1"/>
  <c r="F63" i="1"/>
  <c r="I63" i="1" s="1"/>
  <c r="F64" i="1"/>
  <c r="I64" i="1" s="1"/>
  <c r="F65" i="1"/>
  <c r="I65" i="1" s="1"/>
  <c r="F66" i="1"/>
  <c r="I66" i="1" s="1"/>
  <c r="F67" i="1"/>
  <c r="H67" i="1" s="1"/>
  <c r="F68" i="1"/>
  <c r="H68" i="1" s="1"/>
  <c r="F69" i="1"/>
  <c r="H69" i="1" s="1"/>
  <c r="F70" i="1"/>
  <c r="H70" i="1" s="1"/>
  <c r="F71" i="1"/>
  <c r="I71" i="1" s="1"/>
  <c r="F72" i="1"/>
  <c r="I72" i="1" s="1"/>
  <c r="F73" i="1"/>
  <c r="I73" i="1" s="1"/>
  <c r="F74" i="1"/>
  <c r="I74" i="1" s="1"/>
  <c r="F75" i="1"/>
  <c r="H75" i="1" s="1"/>
  <c r="F76" i="1"/>
  <c r="H76" i="1" s="1"/>
  <c r="F77" i="1"/>
  <c r="H77" i="1" s="1"/>
  <c r="F78" i="1"/>
  <c r="H78" i="1" s="1"/>
  <c r="F79" i="1"/>
  <c r="I79" i="1" s="1"/>
  <c r="F80" i="1"/>
  <c r="I80" i="1" s="1"/>
  <c r="F81" i="1"/>
  <c r="I81" i="1" s="1"/>
  <c r="F82" i="1"/>
  <c r="I82" i="1" s="1"/>
  <c r="F83" i="1"/>
  <c r="H83" i="1" s="1"/>
  <c r="F84" i="1"/>
  <c r="H84" i="1" s="1"/>
  <c r="F85" i="1"/>
  <c r="H85" i="1" s="1"/>
  <c r="F86" i="1"/>
  <c r="H86" i="1" s="1"/>
  <c r="F87" i="1"/>
  <c r="I87" i="1" s="1"/>
  <c r="F88" i="1"/>
  <c r="I88" i="1" s="1"/>
  <c r="F89" i="1"/>
  <c r="I89" i="1" s="1"/>
  <c r="F90" i="1"/>
  <c r="I90" i="1" s="1"/>
  <c r="F91" i="1"/>
  <c r="H91" i="1" s="1"/>
  <c r="F92" i="1"/>
  <c r="H92" i="1" s="1"/>
  <c r="F93" i="1"/>
  <c r="H93" i="1" s="1"/>
  <c r="F94" i="1"/>
  <c r="H94" i="1" s="1"/>
  <c r="F95" i="1"/>
  <c r="I95" i="1" s="1"/>
  <c r="F96" i="1"/>
  <c r="I96" i="1" s="1"/>
  <c r="F97" i="1"/>
  <c r="I97" i="1" s="1"/>
  <c r="F98" i="1"/>
  <c r="I98" i="1" s="1"/>
  <c r="F99" i="1"/>
  <c r="H99" i="1" s="1"/>
  <c r="F100" i="1"/>
  <c r="H100" i="1" s="1"/>
  <c r="F101" i="1"/>
  <c r="H101" i="1" s="1"/>
  <c r="F102" i="1"/>
  <c r="H102" i="1" s="1"/>
  <c r="F103" i="1"/>
  <c r="I103" i="1" s="1"/>
  <c r="F104" i="1"/>
  <c r="I104" i="1" s="1"/>
  <c r="F105" i="1"/>
  <c r="I105" i="1" s="1"/>
  <c r="F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6" i="1"/>
  <c r="I6" i="1" l="1"/>
  <c r="I18" i="1"/>
  <c r="I10" i="1"/>
  <c r="I16" i="1"/>
  <c r="I8" i="1"/>
  <c r="I15" i="1"/>
  <c r="I7" i="1"/>
  <c r="J46" i="1"/>
  <c r="H6" i="1"/>
  <c r="J6" i="1" s="1"/>
  <c r="H98" i="1"/>
  <c r="J98" i="1" s="1"/>
  <c r="H90" i="1"/>
  <c r="J90" i="1" s="1"/>
  <c r="H82" i="1"/>
  <c r="J82" i="1" s="1"/>
  <c r="H74" i="1"/>
  <c r="J74" i="1" s="1"/>
  <c r="H66" i="1"/>
  <c r="J66" i="1" s="1"/>
  <c r="H58" i="1"/>
  <c r="J58" i="1" s="1"/>
  <c r="H50" i="1"/>
  <c r="J50" i="1" s="1"/>
  <c r="H42" i="1"/>
  <c r="J42" i="1" s="1"/>
  <c r="H34" i="1"/>
  <c r="J34" i="1" s="1"/>
  <c r="H26" i="1"/>
  <c r="J26" i="1" s="1"/>
  <c r="H18" i="1"/>
  <c r="J18" i="1" s="1"/>
  <c r="H10" i="1"/>
  <c r="J10" i="1" s="1"/>
  <c r="I102" i="1"/>
  <c r="J102" i="1" s="1"/>
  <c r="I94" i="1"/>
  <c r="J94" i="1" s="1"/>
  <c r="I86" i="1"/>
  <c r="J86" i="1" s="1"/>
  <c r="I78" i="1"/>
  <c r="J78" i="1" s="1"/>
  <c r="I70" i="1"/>
  <c r="J70" i="1" s="1"/>
  <c r="I62" i="1"/>
  <c r="J62" i="1" s="1"/>
  <c r="I54" i="1"/>
  <c r="J54" i="1" s="1"/>
  <c r="I46" i="1"/>
  <c r="I38" i="1"/>
  <c r="J38" i="1" s="1"/>
  <c r="I30" i="1"/>
  <c r="J30" i="1" s="1"/>
  <c r="I22" i="1"/>
  <c r="J22" i="1" s="1"/>
  <c r="I14" i="1"/>
  <c r="J14" i="1" s="1"/>
  <c r="H105" i="1"/>
  <c r="J105" i="1" s="1"/>
  <c r="H97" i="1"/>
  <c r="J97" i="1" s="1"/>
  <c r="H89" i="1"/>
  <c r="J89" i="1" s="1"/>
  <c r="H81" i="1"/>
  <c r="J81" i="1" s="1"/>
  <c r="H73" i="1"/>
  <c r="J73" i="1" s="1"/>
  <c r="H65" i="1"/>
  <c r="J65" i="1" s="1"/>
  <c r="H57" i="1"/>
  <c r="J57" i="1" s="1"/>
  <c r="H49" i="1"/>
  <c r="J49" i="1" s="1"/>
  <c r="H41" i="1"/>
  <c r="J41" i="1" s="1"/>
  <c r="H33" i="1"/>
  <c r="J33" i="1" s="1"/>
  <c r="H25" i="1"/>
  <c r="J25" i="1" s="1"/>
  <c r="H17" i="1"/>
  <c r="J17" i="1" s="1"/>
  <c r="H9" i="1"/>
  <c r="J9" i="1" s="1"/>
  <c r="I101" i="1"/>
  <c r="J101" i="1" s="1"/>
  <c r="I93" i="1"/>
  <c r="J93" i="1" s="1"/>
  <c r="I85" i="1"/>
  <c r="J85" i="1" s="1"/>
  <c r="I77" i="1"/>
  <c r="J77" i="1" s="1"/>
  <c r="I69" i="1"/>
  <c r="J69" i="1" s="1"/>
  <c r="I61" i="1"/>
  <c r="J61" i="1" s="1"/>
  <c r="I53" i="1"/>
  <c r="J53" i="1" s="1"/>
  <c r="I45" i="1"/>
  <c r="J45" i="1" s="1"/>
  <c r="I37" i="1"/>
  <c r="J37" i="1" s="1"/>
  <c r="I29" i="1"/>
  <c r="J29" i="1" s="1"/>
  <c r="I21" i="1"/>
  <c r="J21" i="1" s="1"/>
  <c r="I13" i="1"/>
  <c r="J13" i="1" s="1"/>
  <c r="H104" i="1"/>
  <c r="J104" i="1" s="1"/>
  <c r="H96" i="1"/>
  <c r="J96" i="1" s="1"/>
  <c r="H88" i="1"/>
  <c r="J88" i="1" s="1"/>
  <c r="H80" i="1"/>
  <c r="J80" i="1" s="1"/>
  <c r="H72" i="1"/>
  <c r="J72" i="1" s="1"/>
  <c r="H64" i="1"/>
  <c r="J64" i="1" s="1"/>
  <c r="H56" i="1"/>
  <c r="J56" i="1" s="1"/>
  <c r="H48" i="1"/>
  <c r="J48" i="1" s="1"/>
  <c r="H40" i="1"/>
  <c r="J40" i="1" s="1"/>
  <c r="H32" i="1"/>
  <c r="J32" i="1" s="1"/>
  <c r="H24" i="1"/>
  <c r="J24" i="1" s="1"/>
  <c r="H16" i="1"/>
  <c r="J16" i="1" s="1"/>
  <c r="H8" i="1"/>
  <c r="J8" i="1" s="1"/>
  <c r="I100" i="1"/>
  <c r="J100" i="1" s="1"/>
  <c r="I92" i="1"/>
  <c r="J92" i="1" s="1"/>
  <c r="I84" i="1"/>
  <c r="J84" i="1" s="1"/>
  <c r="I76" i="1"/>
  <c r="J76" i="1" s="1"/>
  <c r="I68" i="1"/>
  <c r="J68" i="1" s="1"/>
  <c r="I60" i="1"/>
  <c r="J60" i="1" s="1"/>
  <c r="I52" i="1"/>
  <c r="J52" i="1" s="1"/>
  <c r="I44" i="1"/>
  <c r="J44" i="1" s="1"/>
  <c r="I36" i="1"/>
  <c r="J36" i="1" s="1"/>
  <c r="I28" i="1"/>
  <c r="J28" i="1" s="1"/>
  <c r="I20" i="1"/>
  <c r="J20" i="1" s="1"/>
  <c r="I12" i="1"/>
  <c r="J12" i="1" s="1"/>
  <c r="H103" i="1"/>
  <c r="J103" i="1" s="1"/>
  <c r="H95" i="1"/>
  <c r="J95" i="1" s="1"/>
  <c r="H87" i="1"/>
  <c r="J87" i="1" s="1"/>
  <c r="H79" i="1"/>
  <c r="J79" i="1" s="1"/>
  <c r="H71" i="1"/>
  <c r="J71" i="1" s="1"/>
  <c r="H63" i="1"/>
  <c r="J63" i="1" s="1"/>
  <c r="H55" i="1"/>
  <c r="J55" i="1" s="1"/>
  <c r="H47" i="1"/>
  <c r="J47" i="1" s="1"/>
  <c r="H39" i="1"/>
  <c r="J39" i="1" s="1"/>
  <c r="H31" i="1"/>
  <c r="J31" i="1" s="1"/>
  <c r="H23" i="1"/>
  <c r="J23" i="1" s="1"/>
  <c r="H15" i="1"/>
  <c r="J15" i="1" s="1"/>
  <c r="H7" i="1"/>
  <c r="J7" i="1" s="1"/>
  <c r="I99" i="1"/>
  <c r="J99" i="1" s="1"/>
  <c r="I91" i="1"/>
  <c r="J91" i="1" s="1"/>
  <c r="I83" i="1"/>
  <c r="J83" i="1" s="1"/>
  <c r="I75" i="1"/>
  <c r="J75" i="1" s="1"/>
  <c r="I67" i="1"/>
  <c r="J67" i="1" s="1"/>
  <c r="I59" i="1"/>
  <c r="J59" i="1" s="1"/>
  <c r="I51" i="1"/>
  <c r="J51" i="1" s="1"/>
  <c r="I43" i="1"/>
  <c r="J43" i="1" s="1"/>
  <c r="I35" i="1"/>
  <c r="J35" i="1" s="1"/>
  <c r="I27" i="1"/>
  <c r="J27" i="1" s="1"/>
  <c r="I19" i="1"/>
  <c r="J19" i="1" s="1"/>
  <c r="I11" i="1"/>
  <c r="J11" i="1" s="1"/>
</calcChain>
</file>

<file path=xl/sharedStrings.xml><?xml version="1.0" encoding="utf-8"?>
<sst xmlns="http://schemas.openxmlformats.org/spreadsheetml/2006/main" count="118" uniqueCount="37">
  <si>
    <t>LAKSHMI VILAS BANK LTD</t>
  </si>
  <si>
    <t>KANCHEEPURAM</t>
  </si>
  <si>
    <t>S.No</t>
  </si>
  <si>
    <t>Loan Account No</t>
  </si>
  <si>
    <t>Name of the  Customer</t>
  </si>
  <si>
    <t>Amount</t>
  </si>
  <si>
    <t>Bank Commission</t>
  </si>
  <si>
    <t>Appraiser Commission</t>
  </si>
  <si>
    <t>Total Commission</t>
  </si>
  <si>
    <t>JDL MISC INCOME BREAK UP</t>
  </si>
  <si>
    <t>JDL PROCESSING CHARGES</t>
  </si>
  <si>
    <t>APPRAISER COMMISSION</t>
  </si>
  <si>
    <t>BANK COMMISION</t>
  </si>
  <si>
    <t>RENEWAL APPRAISER COMMISION</t>
  </si>
  <si>
    <t>RENEWAL BANK COMMISION</t>
  </si>
  <si>
    <t>MAXIMUM LIMIT</t>
  </si>
  <si>
    <t>Fresh  /Renewal</t>
  </si>
  <si>
    <t>JDL COMISSION WAIVER LEVEL</t>
  </si>
  <si>
    <t>Renewal</t>
  </si>
  <si>
    <t>SIGNATURE OF THE TELLER</t>
  </si>
  <si>
    <t>SIGNATURE OF THE OFFICER(AUTHORISER)</t>
  </si>
  <si>
    <t>JDL Income Page - 1</t>
  </si>
  <si>
    <t>Fresh</t>
  </si>
  <si>
    <t>Total</t>
  </si>
  <si>
    <t>KAPPUDEVI</t>
  </si>
  <si>
    <t>KANNAN</t>
  </si>
  <si>
    <t>SARANYA J</t>
  </si>
  <si>
    <t>GEETHA S</t>
  </si>
  <si>
    <t>SUSILKUMAR</t>
  </si>
  <si>
    <t>VARADARAJAN</t>
  </si>
  <si>
    <t>THIYAGARAJAN</t>
  </si>
  <si>
    <t>MAPPILAIMOIDEEN</t>
  </si>
  <si>
    <t>MOHAN</t>
  </si>
  <si>
    <t>MANIVEL</t>
  </si>
  <si>
    <t>C RAJA</t>
  </si>
  <si>
    <t>SHIVLAL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</si>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</sst>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0"/>
    <numFmt numFmtId="165" formatCode="0.000%"/>
    <numFmt numFmtId="166" formatCode="000000000"/>
    <numFmt numFmtId="167" formatCode="000"/>
    <numFmt numFmtId="168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1"/>
      <name val="Arial Black"/>
      <family val="2"/>
    </font>
    <font>
      <b/>
      <sz val="14"/>
      <color theme="1"/>
      <name val="Calibri"/>
      <family val="2"/>
      <scheme val="minor"/>
    </font>
    <font>
      <sz val="12"/>
      <color theme="1"/>
      <name val="Arial Black"/>
      <family val="2"/>
    </font>
    <font>
      <b/>
      <sz val="10"/>
      <color theme="1"/>
      <name val="Arial"/>
      <family val="2"/>
    </font>
    <font>
      <sz val="13"/>
      <color theme="1"/>
      <name val="Arial Black"/>
      <family val="2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4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8" fillId="0" borderId="0" xfId="0" applyFont="1"/>
    <xf numFmtId="0" fontId="2" fillId="0" borderId="1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 wrapText="1"/>
    </xf>
    <xf numFmtId="164" fontId="1" fillId="0" borderId="2" xfId="0" applyNumberFormat="1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 textRotation="90" wrapText="1"/>
    </xf>
    <xf numFmtId="2" fontId="2" fillId="0" borderId="4" xfId="0" applyNumberFormat="1" applyFont="1" applyBorder="1" applyAlignment="1">
      <alignment horizontal="center" vertical="center" textRotation="90" wrapText="1"/>
    </xf>
    <xf numFmtId="2" fontId="1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2" fillId="0" borderId="15" xfId="0" applyNumberFormat="1" applyFont="1" applyBorder="1" applyAlignment="1">
      <alignment horizontal="center" vertical="center" textRotation="90" wrapText="1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4" fillId="0" borderId="2" xfId="0" applyNumberFormat="1" applyFont="1" applyBorder="1" applyAlignment="1">
      <alignment horizontal="center" vertical="center" wrapText="1"/>
    </xf>
    <xf numFmtId="2" fontId="4" fillId="0" borderId="11" xfId="0" applyNumberFormat="1" applyFont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1" fillId="0" borderId="0" xfId="0" applyNumberFormat="1" applyFont="1" applyAlignment="1">
      <alignment wrapText="1"/>
    </xf>
    <xf numFmtId="2" fontId="0" fillId="0" borderId="0" xfId="0" applyNumberFormat="1" applyAlignment="1">
      <alignment wrapText="1"/>
    </xf>
    <xf numFmtId="1" fontId="1" fillId="0" borderId="10" xfId="0" applyNumberFormat="1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164" fontId="1" fillId="0" borderId="13" xfId="0" applyNumberFormat="1" applyFont="1" applyBorder="1" applyAlignment="1">
      <alignment horizontal="center" vertical="center" wrapText="1"/>
    </xf>
    <xf numFmtId="1" fontId="1" fillId="0" borderId="2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166" fontId="1" fillId="0" borderId="2" xfId="0" applyNumberFormat="1" applyFont="1" applyBorder="1" applyAlignment="1">
      <alignment horizontal="center" vertical="center" wrapText="1"/>
    </xf>
    <xf numFmtId="166" fontId="1" fillId="0" borderId="13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68" fontId="7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3</xdr:col>
      <xdr:colOff>142875</xdr:colOff>
      <xdr:row>0</xdr:row>
      <xdr:rowOff>342900</xdr:rowOff>
    </xdr:to>
    <xdr:sp macro="[0]!Calcula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675" y="1047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Calculate</a:t>
          </a:r>
        </a:p>
      </xdr:txBody>
    </xdr:sp>
    <xdr:clientData/>
  </xdr:twoCellAnchor>
  <xdr:twoCellAnchor>
    <xdr:from>
      <xdr:col>7</xdr:col>
      <xdr:colOff>457200</xdr:colOff>
      <xdr:row>0</xdr:row>
      <xdr:rowOff>66675</xdr:rowOff>
    </xdr:from>
    <xdr:to>
      <xdr:col>9</xdr:col>
      <xdr:colOff>571500</xdr:colOff>
      <xdr:row>0</xdr:row>
      <xdr:rowOff>304800</xdr:rowOff>
    </xdr:to>
    <xdr:sp macro="[0]!Workshe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810250" y="666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Generate Data Sheet</a:t>
          </a:r>
        </a:p>
      </xdr:txBody>
    </xdr:sp>
    <xdr:clientData/>
  </xdr:twoCellAnchor>
  <xdr:twoCellAnchor>
    <xdr:from>
      <xdr:col>0</xdr:col>
      <xdr:colOff>66675</xdr:colOff>
      <xdr:row>1</xdr:row>
      <xdr:rowOff>0</xdr:rowOff>
    </xdr:from>
    <xdr:to>
      <xdr:col>3</xdr:col>
      <xdr:colOff>142875</xdr:colOff>
      <xdr:row>1</xdr:row>
      <xdr:rowOff>238125</xdr:rowOff>
    </xdr:to>
    <xdr:sp macro="[0]!DataCopi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6675" y="428625"/>
          <a:ext cx="1371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Copy Data</a:t>
          </a:r>
        </a:p>
      </xdr:txBody>
    </xdr:sp>
    <xdr:clientData/>
  </xdr:twoCellAnchor>
  <xdr:twoCellAnchor>
    <xdr:from>
      <xdr:col>7</xdr:col>
      <xdr:colOff>457200</xdr:colOff>
      <xdr:row>0</xdr:row>
      <xdr:rowOff>419100</xdr:rowOff>
    </xdr:from>
    <xdr:to>
      <xdr:col>9</xdr:col>
      <xdr:colOff>571500</xdr:colOff>
      <xdr:row>1</xdr:row>
      <xdr:rowOff>228600</xdr:rowOff>
    </xdr:to>
    <xdr:sp macro="[0]!PrintAllMacro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48450" y="419100"/>
          <a:ext cx="14668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</a:t>
          </a:r>
          <a:r>
            <a:rPr lang="en-US" sz="1100" baseline="0"/>
            <a:t> All Sheets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DL%20Disbursement%20Vouch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Sheet"/>
      <sheetName val="Page 1"/>
      <sheetName val="Page 2"/>
      <sheetName val="Page 3"/>
      <sheetName val="Page 4"/>
      <sheetName val="Page 5"/>
      <sheetName val="Page 6"/>
      <sheetName val="Page 7"/>
    </sheetNames>
    <sheetDataSet>
      <sheetData sheetId="0">
        <row r="5">
          <cell r="C5">
            <v>666</v>
          </cell>
          <cell r="D5">
            <v>258909</v>
          </cell>
          <cell r="E5" t="str">
            <v>SARANYA J</v>
          </cell>
          <cell r="I5">
            <v>55000</v>
          </cell>
          <cell r="L5" t="str">
            <v>Fresh</v>
          </cell>
        </row>
        <row r="6">
          <cell r="C6">
            <v>666</v>
          </cell>
          <cell r="D6">
            <v>258911</v>
          </cell>
          <cell r="E6" t="str">
            <v>GEETHA S</v>
          </cell>
          <cell r="I6">
            <v>40000</v>
          </cell>
          <cell r="L6" t="str">
            <v>Fresh</v>
          </cell>
        </row>
        <row r="7">
          <cell r="C7">
            <v>666</v>
          </cell>
          <cell r="D7">
            <v>258923</v>
          </cell>
          <cell r="E7" t="str">
            <v>SUSILKUMAR</v>
          </cell>
          <cell r="I7">
            <v>30000</v>
          </cell>
          <cell r="L7" t="str">
            <v>Fresh</v>
          </cell>
        </row>
        <row r="8">
          <cell r="C8">
            <v>666</v>
          </cell>
          <cell r="D8">
            <v>258930</v>
          </cell>
          <cell r="E8" t="str">
            <v>VARADARAJAN</v>
          </cell>
          <cell r="I8">
            <v>54500</v>
          </cell>
          <cell r="L8" t="str">
            <v>Fresh</v>
          </cell>
        </row>
        <row r="9">
          <cell r="C9">
            <v>666</v>
          </cell>
          <cell r="D9">
            <v>258942</v>
          </cell>
          <cell r="E9" t="str">
            <v>SUSILKUMAR</v>
          </cell>
          <cell r="I9">
            <v>30000</v>
          </cell>
          <cell r="L9" t="str">
            <v>Fresh</v>
          </cell>
        </row>
        <row r="10">
          <cell r="C10">
            <v>666</v>
          </cell>
          <cell r="D10">
            <v>258954</v>
          </cell>
          <cell r="E10" t="str">
            <v>THIYAGARAJAN</v>
          </cell>
          <cell r="I10">
            <v>28500</v>
          </cell>
          <cell r="L10" t="str">
            <v>Fresh</v>
          </cell>
        </row>
        <row r="11">
          <cell r="C11">
            <v>666</v>
          </cell>
          <cell r="D11">
            <v>258966</v>
          </cell>
          <cell r="E11" t="str">
            <v>MAPPILAIMOIDEEN</v>
          </cell>
          <cell r="I11">
            <v>70000</v>
          </cell>
          <cell r="L11" t="str">
            <v>Renewal</v>
          </cell>
        </row>
        <row r="12">
          <cell r="C12">
            <v>666</v>
          </cell>
          <cell r="D12">
            <v>258978</v>
          </cell>
          <cell r="E12" t="str">
            <v>KANNAN</v>
          </cell>
          <cell r="I12">
            <v>30000</v>
          </cell>
          <cell r="L12" t="str">
            <v>Fresh</v>
          </cell>
        </row>
        <row r="13">
          <cell r="C13">
            <v>666</v>
          </cell>
          <cell r="D13">
            <v>258980</v>
          </cell>
          <cell r="E13" t="str">
            <v>KAPPUDEVI</v>
          </cell>
          <cell r="I13">
            <v>40500</v>
          </cell>
          <cell r="L13" t="str">
            <v>Fresh</v>
          </cell>
        </row>
        <row r="14">
          <cell r="C14">
            <v>666</v>
          </cell>
          <cell r="D14">
            <v>258992</v>
          </cell>
          <cell r="E14" t="str">
            <v>MOHAN</v>
          </cell>
          <cell r="I14">
            <v>40000</v>
          </cell>
          <cell r="L14" t="str">
            <v>Fresh</v>
          </cell>
        </row>
        <row r="15">
          <cell r="C15">
            <v>666</v>
          </cell>
          <cell r="D15">
            <v>259009</v>
          </cell>
          <cell r="E15" t="str">
            <v>MANIVEL</v>
          </cell>
          <cell r="I15">
            <v>33000</v>
          </cell>
          <cell r="L15" t="str">
            <v>Renewal</v>
          </cell>
        </row>
        <row r="16">
          <cell r="C16">
            <v>666</v>
          </cell>
          <cell r="D16">
            <v>259011</v>
          </cell>
          <cell r="E16" t="str">
            <v>C RAJA</v>
          </cell>
          <cell r="I16">
            <v>22500</v>
          </cell>
          <cell r="L16" t="str">
            <v>Fresh</v>
          </cell>
        </row>
        <row r="17">
          <cell r="C17">
            <v>666</v>
          </cell>
          <cell r="D17">
            <v>259023</v>
          </cell>
          <cell r="E17" t="str">
            <v>SHIVLAL</v>
          </cell>
          <cell r="I17">
            <v>40000</v>
          </cell>
          <cell r="L17" t="str">
            <v>Fresh</v>
          </cell>
        </row>
        <row r="18">
          <cell r="C18">
            <v>666</v>
          </cell>
          <cell r="D18"/>
          <cell r="E18"/>
          <cell r="I18"/>
          <cell r="L18" t="str">
            <v>Renewal</v>
          </cell>
        </row>
        <row r="19">
          <cell r="C19">
            <v>666</v>
          </cell>
          <cell r="D19"/>
          <cell r="E19"/>
          <cell r="I19"/>
          <cell r="L19" t="str">
            <v>Renewal</v>
          </cell>
        </row>
        <row r="20">
          <cell r="C20"/>
          <cell r="D20"/>
          <cell r="E20"/>
          <cell r="I20"/>
          <cell r="L20" t="str">
            <v>Fresh</v>
          </cell>
        </row>
        <row r="21">
          <cell r="C21"/>
          <cell r="D21"/>
          <cell r="E21"/>
          <cell r="I21"/>
          <cell r="L21" t="str">
            <v>Fresh</v>
          </cell>
        </row>
        <row r="22">
          <cell r="C22"/>
          <cell r="D22"/>
          <cell r="E22"/>
          <cell r="I22"/>
          <cell r="L22" t="str">
            <v>Fresh</v>
          </cell>
        </row>
        <row r="23">
          <cell r="C23"/>
          <cell r="D23"/>
          <cell r="E23"/>
          <cell r="I23"/>
          <cell r="L23" t="str">
            <v>Fresh</v>
          </cell>
        </row>
        <row r="24">
          <cell r="C24"/>
          <cell r="D24"/>
          <cell r="E24"/>
          <cell r="I24"/>
          <cell r="L24" t="str">
            <v>Fresh</v>
          </cell>
        </row>
        <row r="25">
          <cell r="C25"/>
          <cell r="D25"/>
          <cell r="E25"/>
          <cell r="I25"/>
          <cell r="L25" t="str">
            <v>Renewal</v>
          </cell>
        </row>
        <row r="26">
          <cell r="C26"/>
          <cell r="D26"/>
          <cell r="E26"/>
          <cell r="I26"/>
          <cell r="L26" t="str">
            <v>Fresh</v>
          </cell>
        </row>
        <row r="27">
          <cell r="C27"/>
          <cell r="D27"/>
          <cell r="E27"/>
          <cell r="I27"/>
          <cell r="L27" t="str">
            <v>Renewal</v>
          </cell>
        </row>
        <row r="28">
          <cell r="C28"/>
          <cell r="D28"/>
          <cell r="E28"/>
          <cell r="I28"/>
          <cell r="L28" t="str">
            <v>Fresh</v>
          </cell>
        </row>
        <row r="29">
          <cell r="C29"/>
          <cell r="D29"/>
          <cell r="E29"/>
          <cell r="I29"/>
          <cell r="L29" t="str">
            <v>Fresh</v>
          </cell>
        </row>
        <row r="30">
          <cell r="C30"/>
          <cell r="D30"/>
          <cell r="E30"/>
          <cell r="I30"/>
          <cell r="L30" t="str">
            <v>Renewal</v>
          </cell>
        </row>
        <row r="31">
          <cell r="C31"/>
          <cell r="D31"/>
          <cell r="E31"/>
          <cell r="I31"/>
          <cell r="L31" t="str">
            <v>Fresh</v>
          </cell>
        </row>
        <row r="32">
          <cell r="C32"/>
          <cell r="D32"/>
          <cell r="E32"/>
          <cell r="I32"/>
          <cell r="L32" t="str">
            <v>Fresh</v>
          </cell>
        </row>
        <row r="33">
          <cell r="C33"/>
          <cell r="D33"/>
          <cell r="E33"/>
          <cell r="I33"/>
          <cell r="L33" t="str">
            <v>Fresh</v>
          </cell>
        </row>
        <row r="34">
          <cell r="C34"/>
          <cell r="D34"/>
          <cell r="E34"/>
          <cell r="I34"/>
          <cell r="L34" t="str">
            <v>Fresh</v>
          </cell>
        </row>
        <row r="35">
          <cell r="C35"/>
          <cell r="D35"/>
          <cell r="E35"/>
          <cell r="I35"/>
          <cell r="L35" t="str">
            <v>Fresh</v>
          </cell>
        </row>
        <row r="36">
          <cell r="C36"/>
          <cell r="D36"/>
          <cell r="E36"/>
          <cell r="I36"/>
          <cell r="L36" t="str">
            <v>Fresh</v>
          </cell>
        </row>
        <row r="37">
          <cell r="C37"/>
          <cell r="D37"/>
          <cell r="E37"/>
          <cell r="I37"/>
          <cell r="L37" t="str">
            <v>Fresh</v>
          </cell>
        </row>
        <row r="38">
          <cell r="C38"/>
          <cell r="D38"/>
          <cell r="E38"/>
          <cell r="I38"/>
          <cell r="L38" t="str">
            <v>Fresh</v>
          </cell>
        </row>
        <row r="39">
          <cell r="C39"/>
          <cell r="D39"/>
          <cell r="E39"/>
          <cell r="I39"/>
          <cell r="L39" t="str">
            <v>Fresh</v>
          </cell>
        </row>
        <row r="40">
          <cell r="C40"/>
          <cell r="D40"/>
          <cell r="E40"/>
          <cell r="I40"/>
          <cell r="L40" t="str">
            <v>Fresh</v>
          </cell>
        </row>
        <row r="41">
          <cell r="C41"/>
          <cell r="D41"/>
          <cell r="E41"/>
          <cell r="I41"/>
          <cell r="L41" t="str">
            <v>Fresh</v>
          </cell>
        </row>
        <row r="42">
          <cell r="C42"/>
          <cell r="D42"/>
          <cell r="E42"/>
          <cell r="I42"/>
          <cell r="L42" t="str">
            <v>Fresh</v>
          </cell>
        </row>
        <row r="43">
          <cell r="C43"/>
          <cell r="D43"/>
          <cell r="E43"/>
          <cell r="I43"/>
          <cell r="L43" t="str">
            <v>Fresh</v>
          </cell>
        </row>
        <row r="44">
          <cell r="C44"/>
          <cell r="D44"/>
          <cell r="E44"/>
          <cell r="I44"/>
          <cell r="L44" t="str">
            <v>Fresh</v>
          </cell>
        </row>
        <row r="45">
          <cell r="C45"/>
          <cell r="D45"/>
          <cell r="E45"/>
          <cell r="I45"/>
          <cell r="L45" t="str">
            <v>Renewal</v>
          </cell>
        </row>
        <row r="46">
          <cell r="C46"/>
          <cell r="D46"/>
          <cell r="E46"/>
          <cell r="I46"/>
          <cell r="L46" t="str">
            <v>Renewal</v>
          </cell>
        </row>
        <row r="47">
          <cell r="C47"/>
          <cell r="D47"/>
          <cell r="E47"/>
          <cell r="I47"/>
          <cell r="L47" t="str">
            <v>Fresh</v>
          </cell>
        </row>
        <row r="48">
          <cell r="C48"/>
          <cell r="D48"/>
          <cell r="E48"/>
          <cell r="I48"/>
          <cell r="L48" t="str">
            <v>Renewal</v>
          </cell>
        </row>
        <row r="49">
          <cell r="C49"/>
          <cell r="D49"/>
          <cell r="E49"/>
          <cell r="I49"/>
          <cell r="L49" t="str">
            <v>Fresh</v>
          </cell>
        </row>
        <row r="50">
          <cell r="C50"/>
          <cell r="D50"/>
          <cell r="E50"/>
          <cell r="I50"/>
          <cell r="L50" t="str">
            <v>Renewal</v>
          </cell>
        </row>
        <row r="51">
          <cell r="C51"/>
          <cell r="D51"/>
          <cell r="E51"/>
          <cell r="I51"/>
          <cell r="L51" t="str">
            <v>Renewal</v>
          </cell>
        </row>
        <row r="52">
          <cell r="C52"/>
          <cell r="D52"/>
          <cell r="E52"/>
          <cell r="I52"/>
          <cell r="L52" t="str">
            <v>Fresh</v>
          </cell>
        </row>
        <row r="53">
          <cell r="C53"/>
          <cell r="D53"/>
          <cell r="E53"/>
          <cell r="I53"/>
          <cell r="L53" t="str">
            <v>Renewal</v>
          </cell>
        </row>
        <row r="54">
          <cell r="C54"/>
          <cell r="D54"/>
          <cell r="E54"/>
          <cell r="I54"/>
          <cell r="L54" t="str">
            <v>Renewal</v>
          </cell>
        </row>
        <row r="55">
          <cell r="C55"/>
          <cell r="D55"/>
          <cell r="E55"/>
          <cell r="I55"/>
          <cell r="L55" t="str">
            <v>Fresh</v>
          </cell>
        </row>
        <row r="56">
          <cell r="C56"/>
          <cell r="D56"/>
          <cell r="E56"/>
          <cell r="I56"/>
          <cell r="L56" t="str">
            <v>Fresh</v>
          </cell>
        </row>
        <row r="57">
          <cell r="C57"/>
          <cell r="D57"/>
          <cell r="E57"/>
          <cell r="I57"/>
          <cell r="L57" t="str">
            <v>Renewal</v>
          </cell>
        </row>
        <row r="58">
          <cell r="C58"/>
          <cell r="D58"/>
          <cell r="E58"/>
          <cell r="I58"/>
          <cell r="L58" t="str">
            <v>Fresh</v>
          </cell>
        </row>
        <row r="59">
          <cell r="C59"/>
          <cell r="D59"/>
          <cell r="E59"/>
          <cell r="I59"/>
          <cell r="L59" t="str">
            <v>Fresh</v>
          </cell>
        </row>
        <row r="60">
          <cell r="C60"/>
          <cell r="D60"/>
          <cell r="E60"/>
          <cell r="I60"/>
          <cell r="L60" t="str">
            <v>Fresh</v>
          </cell>
        </row>
        <row r="61">
          <cell r="C61"/>
          <cell r="D61"/>
          <cell r="E61"/>
          <cell r="I61"/>
          <cell r="L61" t="str">
            <v>Fresh</v>
          </cell>
        </row>
        <row r="62">
          <cell r="C62"/>
          <cell r="D62"/>
          <cell r="E62"/>
          <cell r="I62"/>
          <cell r="L62" t="str">
            <v>Fresh</v>
          </cell>
        </row>
        <row r="63">
          <cell r="C63"/>
          <cell r="D63"/>
          <cell r="E63"/>
          <cell r="I63"/>
          <cell r="L63" t="str">
            <v>Fresh</v>
          </cell>
        </row>
        <row r="64">
          <cell r="C64"/>
          <cell r="D64"/>
          <cell r="E64"/>
          <cell r="I64"/>
          <cell r="L64" t="str">
            <v>Fresh</v>
          </cell>
        </row>
        <row r="65">
          <cell r="C65"/>
          <cell r="D65"/>
          <cell r="E65"/>
          <cell r="I65"/>
          <cell r="L65" t="str">
            <v>Fresh</v>
          </cell>
        </row>
        <row r="66">
          <cell r="C66"/>
          <cell r="D66"/>
          <cell r="E66"/>
          <cell r="I66"/>
          <cell r="L66"/>
        </row>
        <row r="67">
          <cell r="C67"/>
          <cell r="D67"/>
          <cell r="E67"/>
          <cell r="I67"/>
          <cell r="L67"/>
        </row>
        <row r="68">
          <cell r="C68"/>
          <cell r="D68"/>
          <cell r="E68"/>
          <cell r="I68"/>
          <cell r="L68"/>
        </row>
        <row r="69">
          <cell r="C69"/>
          <cell r="D69"/>
          <cell r="E69"/>
          <cell r="I69"/>
          <cell r="L69"/>
        </row>
        <row r="70">
          <cell r="C70"/>
          <cell r="D70"/>
          <cell r="E70"/>
          <cell r="I70"/>
          <cell r="L70"/>
        </row>
        <row r="71">
          <cell r="C71"/>
          <cell r="D71"/>
          <cell r="E71"/>
          <cell r="I71"/>
          <cell r="L71"/>
        </row>
        <row r="72">
          <cell r="C72"/>
          <cell r="D72"/>
          <cell r="E72"/>
          <cell r="I72"/>
          <cell r="L72"/>
        </row>
        <row r="73">
          <cell r="C73"/>
          <cell r="D73"/>
          <cell r="E73"/>
          <cell r="I73"/>
          <cell r="L73"/>
        </row>
        <row r="74">
          <cell r="C74"/>
          <cell r="D74"/>
          <cell r="E74"/>
          <cell r="I74"/>
          <cell r="L74"/>
        </row>
        <row r="75">
          <cell r="C75"/>
          <cell r="D75"/>
          <cell r="E75"/>
          <cell r="I75"/>
          <cell r="L75"/>
        </row>
        <row r="76">
          <cell r="C76"/>
          <cell r="D76"/>
          <cell r="E76"/>
          <cell r="I76"/>
          <cell r="L76"/>
        </row>
        <row r="77">
          <cell r="C77"/>
          <cell r="D77"/>
          <cell r="E77"/>
          <cell r="I77"/>
          <cell r="L77"/>
        </row>
        <row r="78">
          <cell r="C78"/>
          <cell r="D78"/>
          <cell r="E78"/>
          <cell r="I78"/>
          <cell r="L78"/>
        </row>
        <row r="79">
          <cell r="C79"/>
          <cell r="D79"/>
          <cell r="E79"/>
          <cell r="I79"/>
          <cell r="L79"/>
        </row>
        <row r="80">
          <cell r="C80"/>
          <cell r="D80"/>
          <cell r="E80"/>
          <cell r="I80"/>
          <cell r="L80"/>
        </row>
        <row r="81">
          <cell r="C81"/>
          <cell r="D81"/>
          <cell r="E81"/>
          <cell r="I81"/>
          <cell r="L81"/>
        </row>
        <row r="82">
          <cell r="C82"/>
          <cell r="D82"/>
          <cell r="E82"/>
          <cell r="I82"/>
          <cell r="L82"/>
        </row>
        <row r="83">
          <cell r="C83"/>
          <cell r="D83"/>
          <cell r="E83"/>
          <cell r="I83"/>
          <cell r="L83"/>
        </row>
        <row r="84">
          <cell r="C84"/>
          <cell r="D84"/>
          <cell r="E84"/>
          <cell r="I84"/>
          <cell r="L84"/>
        </row>
        <row r="85">
          <cell r="C85"/>
          <cell r="D85"/>
          <cell r="E85"/>
          <cell r="I85"/>
          <cell r="L85"/>
        </row>
        <row r="86">
          <cell r="C86"/>
          <cell r="D86"/>
          <cell r="E86"/>
          <cell r="I86"/>
          <cell r="L86"/>
        </row>
        <row r="87">
          <cell r="C87"/>
          <cell r="D87"/>
          <cell r="E87"/>
          <cell r="I87"/>
          <cell r="L87"/>
        </row>
        <row r="88">
          <cell r="C88"/>
          <cell r="D88"/>
          <cell r="E88"/>
          <cell r="I88"/>
          <cell r="L88"/>
        </row>
        <row r="89">
          <cell r="C89"/>
          <cell r="D89"/>
          <cell r="E89"/>
          <cell r="I89"/>
          <cell r="L89"/>
        </row>
        <row r="90">
          <cell r="C90"/>
          <cell r="D90"/>
          <cell r="E90"/>
          <cell r="I90"/>
          <cell r="L90"/>
        </row>
        <row r="91">
          <cell r="C91"/>
          <cell r="D91"/>
          <cell r="E91"/>
          <cell r="I91"/>
          <cell r="L91"/>
        </row>
        <row r="92">
          <cell r="C92"/>
          <cell r="D92"/>
          <cell r="E92"/>
          <cell r="I92"/>
          <cell r="L92"/>
        </row>
        <row r="93">
          <cell r="C93"/>
          <cell r="D93"/>
          <cell r="E93"/>
          <cell r="I93"/>
          <cell r="L93"/>
        </row>
        <row r="94">
          <cell r="C94"/>
          <cell r="D94"/>
          <cell r="E94"/>
          <cell r="I94"/>
          <cell r="L94"/>
        </row>
        <row r="95">
          <cell r="C95"/>
          <cell r="D95"/>
          <cell r="E95"/>
          <cell r="I95"/>
          <cell r="L95"/>
        </row>
        <row r="96">
          <cell r="C96"/>
          <cell r="D96"/>
          <cell r="E96"/>
          <cell r="I96"/>
          <cell r="L96"/>
        </row>
        <row r="97">
          <cell r="C97"/>
          <cell r="D97"/>
          <cell r="E97"/>
          <cell r="I97"/>
          <cell r="L97"/>
        </row>
        <row r="98">
          <cell r="C98"/>
          <cell r="D98"/>
          <cell r="E98"/>
          <cell r="I98"/>
          <cell r="L98"/>
        </row>
        <row r="99">
          <cell r="C99"/>
          <cell r="D99"/>
          <cell r="E99"/>
          <cell r="I99"/>
          <cell r="L99"/>
        </row>
        <row r="100">
          <cell r="C100"/>
          <cell r="D100"/>
          <cell r="E100"/>
          <cell r="I100"/>
          <cell r="L100"/>
        </row>
        <row r="101">
          <cell r="C101"/>
          <cell r="D101"/>
          <cell r="E101"/>
          <cell r="I101"/>
          <cell r="L101"/>
        </row>
        <row r="102">
          <cell r="C102"/>
          <cell r="D102"/>
          <cell r="E102"/>
          <cell r="I102"/>
          <cell r="L102"/>
        </row>
        <row r="103">
          <cell r="C103"/>
          <cell r="D103"/>
          <cell r="E103"/>
          <cell r="I103"/>
          <cell r="L103"/>
        </row>
        <row r="104">
          <cell r="C104"/>
          <cell r="D104"/>
          <cell r="E104"/>
          <cell r="I104"/>
          <cell r="L104"/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5:G16"/>
  <sheetViews>
    <sheetView workbookViewId="0">
      <selection activeCell="E18" sqref="E18"/>
    </sheetView>
  </sheetViews>
  <sheetFormatPr defaultColWidth="9.109375" defaultRowHeight="14.4" x14ac:dyDescent="0.3"/>
  <cols>
    <col min="2" max="5" width="13.44140625" customWidth="1"/>
    <col min="6" max="6" width="15" style="3" customWidth="1"/>
    <col min="7" max="7" width="23.109375" style="3" customWidth="1"/>
  </cols>
  <sheetData>
    <row r="5" spans="2:7" ht="15" thickBot="1" x14ac:dyDescent="0.35"/>
    <row r="6" spans="2:7" ht="18" x14ac:dyDescent="0.35">
      <c r="B6" s="42" t="s">
        <v>10</v>
      </c>
      <c r="C6" s="43"/>
      <c r="D6" s="43"/>
      <c r="E6" s="43"/>
      <c r="F6" s="43"/>
      <c r="G6" s="6" t="s">
        <v>15</v>
      </c>
    </row>
    <row r="7" spans="2:7" ht="18" x14ac:dyDescent="0.35">
      <c r="B7" s="44"/>
      <c r="C7" s="45"/>
      <c r="D7" s="45"/>
      <c r="E7" s="45"/>
      <c r="F7" s="45"/>
      <c r="G7" s="7"/>
    </row>
    <row r="8" spans="2:7" ht="18" x14ac:dyDescent="0.35">
      <c r="B8" s="44" t="s">
        <v>11</v>
      </c>
      <c r="C8" s="45"/>
      <c r="D8" s="45"/>
      <c r="E8" s="45"/>
      <c r="F8" s="4">
        <v>1.5E-3</v>
      </c>
      <c r="G8" s="8">
        <v>500</v>
      </c>
    </row>
    <row r="9" spans="2:7" ht="18" x14ac:dyDescent="0.35">
      <c r="B9" s="44"/>
      <c r="C9" s="45"/>
      <c r="D9" s="45"/>
      <c r="E9" s="45"/>
      <c r="F9" s="45"/>
      <c r="G9" s="8"/>
    </row>
    <row r="10" spans="2:7" ht="18" x14ac:dyDescent="0.35">
      <c r="B10" s="44" t="s">
        <v>12</v>
      </c>
      <c r="C10" s="45"/>
      <c r="D10" s="45"/>
      <c r="E10" s="45"/>
      <c r="F10" s="4">
        <v>1.5E-3</v>
      </c>
      <c r="G10" s="8">
        <v>1000</v>
      </c>
    </row>
    <row r="11" spans="2:7" ht="18" x14ac:dyDescent="0.35">
      <c r="B11" s="44"/>
      <c r="C11" s="45"/>
      <c r="D11" s="45"/>
      <c r="E11" s="45"/>
      <c r="F11" s="45"/>
      <c r="G11" s="8"/>
    </row>
    <row r="12" spans="2:7" ht="18" x14ac:dyDescent="0.35">
      <c r="B12" s="44" t="s">
        <v>13</v>
      </c>
      <c r="C12" s="45"/>
      <c r="D12" s="45"/>
      <c r="E12" s="45"/>
      <c r="F12" s="5">
        <v>7.5000000000000002E-4</v>
      </c>
      <c r="G12" s="8"/>
    </row>
    <row r="13" spans="2:7" ht="18" x14ac:dyDescent="0.35">
      <c r="B13" s="44"/>
      <c r="C13" s="45"/>
      <c r="D13" s="45"/>
      <c r="E13" s="45"/>
      <c r="F13" s="45"/>
      <c r="G13" s="8"/>
    </row>
    <row r="14" spans="2:7" ht="18" x14ac:dyDescent="0.35">
      <c r="B14" s="44" t="s">
        <v>14</v>
      </c>
      <c r="C14" s="45"/>
      <c r="D14" s="45"/>
      <c r="E14" s="45"/>
      <c r="F14" s="5">
        <v>7.5000000000000002E-4</v>
      </c>
      <c r="G14" s="8"/>
    </row>
    <row r="15" spans="2:7" ht="18" x14ac:dyDescent="0.35">
      <c r="B15" s="46"/>
      <c r="C15" s="47"/>
      <c r="D15" s="47"/>
      <c r="E15" s="47"/>
      <c r="F15" s="47"/>
      <c r="G15" s="8"/>
    </row>
    <row r="16" spans="2:7" ht="18.600000000000001" thickBot="1" x14ac:dyDescent="0.4">
      <c r="B16" s="48" t="s">
        <v>17</v>
      </c>
      <c r="C16" s="49"/>
      <c r="D16" s="49"/>
      <c r="E16" s="49"/>
      <c r="F16" s="9">
        <v>25000</v>
      </c>
      <c r="G16" s="10"/>
    </row>
  </sheetData>
  <mergeCells count="11">
    <mergeCell ref="B16:E16"/>
    <mergeCell ref="B7:F7"/>
    <mergeCell ref="B8:E8"/>
    <mergeCell ref="B9:F9"/>
    <mergeCell ref="B10:E10"/>
    <mergeCell ref="B11:F11"/>
    <mergeCell ref="B6:F6"/>
    <mergeCell ref="B12:E12"/>
    <mergeCell ref="B13:F13"/>
    <mergeCell ref="B14:E14"/>
    <mergeCell ref="B15:F15"/>
  </mergeCells>
  <pageMargins left="0.7" right="0.7" top="0.75" bottom="0.75" header="0.3" footer="0.3"/>
  <pageSetup paperSize="120" orientation="portrait" horizontalDpi="120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05"/>
  <sheetViews>
    <sheetView workbookViewId="0">
      <selection activeCell="J25" sqref="A6:J25"/>
    </sheetView>
  </sheetViews>
  <sheetFormatPr defaultColWidth="9.109375" defaultRowHeight="14.4" x14ac:dyDescent="0.3"/>
  <cols>
    <col min="1" max="1" width="5.6640625" customWidth="1"/>
    <col min="2" max="2" width="7.33203125" customWidth="1"/>
    <col min="3" max="3" width="6.44140625" customWidth="1"/>
    <col min="4" max="4" width="14.5546875" customWidth="1"/>
    <col min="5" max="5" width="34.5546875" customWidth="1"/>
    <col min="6" max="6" width="14.33203125" customWidth="1"/>
    <col min="7" max="7" width="10" customWidth="1"/>
    <col min="8" max="8" width="10.33203125" style="21" customWidth="1"/>
    <col min="9" max="9" width="10" style="21" customWidth="1"/>
    <col min="10" max="10" width="11.109375" style="21" customWidth="1"/>
    <col min="11" max="11" width="15.109375" customWidth="1"/>
  </cols>
  <sheetData>
    <row r="1" spans="1:11" ht="34.200000000000003" x14ac:dyDescent="0.3">
      <c r="A1" s="53" t="s">
        <v>0</v>
      </c>
      <c r="B1" s="53"/>
      <c r="C1" s="53"/>
      <c r="D1" s="53"/>
      <c r="E1" s="53"/>
      <c r="F1" s="53"/>
      <c r="G1" s="53"/>
      <c r="H1" s="53"/>
      <c r="I1" s="53"/>
      <c r="J1" s="53"/>
    </row>
    <row r="2" spans="1:11" ht="18.600000000000001" x14ac:dyDescent="0.3">
      <c r="A2" s="52" t="s">
        <v>1</v>
      </c>
      <c r="B2" s="52"/>
      <c r="C2" s="52"/>
      <c r="D2" s="52"/>
      <c r="E2" s="52"/>
      <c r="F2" s="52"/>
      <c r="G2" s="52"/>
      <c r="H2" s="52"/>
      <c r="I2" s="52"/>
      <c r="J2" s="52"/>
    </row>
    <row r="3" spans="1:11" ht="18.600000000000001" x14ac:dyDescent="0.3">
      <c r="A3" s="52" t="s">
        <v>9</v>
      </c>
      <c r="B3" s="52"/>
      <c r="C3" s="52"/>
      <c r="D3" s="52"/>
      <c r="E3" s="52"/>
      <c r="F3" s="52"/>
      <c r="G3" s="52"/>
      <c r="H3" s="52"/>
      <c r="I3" s="52"/>
      <c r="J3" s="52"/>
    </row>
    <row r="4" spans="1:11" s="11" customFormat="1" ht="21" thickBot="1" x14ac:dyDescent="0.4">
      <c r="A4" s="51">
        <v>41876</v>
      </c>
      <c r="B4" s="51"/>
      <c r="C4" s="51"/>
      <c r="D4" s="51"/>
      <c r="E4" s="51"/>
      <c r="F4" s="51"/>
      <c r="G4" s="51"/>
      <c r="H4" s="51"/>
      <c r="I4" s="51"/>
      <c r="J4" s="51"/>
    </row>
    <row r="5" spans="1:11" ht="90.75" customHeight="1" x14ac:dyDescent="0.3">
      <c r="A5" s="12" t="s">
        <v>2</v>
      </c>
      <c r="B5" s="50" t="s">
        <v>3</v>
      </c>
      <c r="C5" s="50"/>
      <c r="D5" s="50"/>
      <c r="E5" s="13" t="s">
        <v>4</v>
      </c>
      <c r="F5" s="13" t="s">
        <v>5</v>
      </c>
      <c r="G5" s="14" t="s">
        <v>16</v>
      </c>
      <c r="H5" s="18" t="s">
        <v>6</v>
      </c>
      <c r="I5" s="19" t="s">
        <v>7</v>
      </c>
      <c r="J5" s="18" t="s">
        <v>8</v>
      </c>
    </row>
    <row r="6" spans="1:11" ht="38.25" customHeight="1" x14ac:dyDescent="0.3">
      <c r="A6" s="1">
        <v>1</v>
      </c>
      <c r="B6" s="15">
        <f>IF('[1]Main Sheet'!C5="","",358)</f>
        <v>358</v>
      </c>
      <c r="C6" s="16">
        <f>IF('[1]Main Sheet'!C5="","",'[1]Main Sheet'!C5)</f>
        <v>666</v>
      </c>
      <c r="D6" s="17">
        <f>IF('[1]Main Sheet'!D5="","",'[1]Main Sheet'!D5)</f>
        <v>258909</v>
      </c>
      <c r="E6" s="15" t="str">
        <f>IF('[1]Main Sheet'!E5="","",'[1]Main Sheet'!E5)</f>
        <v>SARANYA J</v>
      </c>
      <c r="F6" s="15">
        <f>IF('[1]Main Sheet'!I5="","",'[1]Main Sheet'!I5)</f>
        <v>55000</v>
      </c>
      <c r="G6" s="15" t="str">
        <f>IF('[1]Main Sheet'!L5="","",'[1]Main Sheet'!L5)</f>
        <v>Fresh</v>
      </c>
      <c r="H6" s="20">
        <f>IF(F6&lt;&gt;"",IF(IF(G6="Fresh",IF('JDL Misc Income'!F6&lt;&gt;"",'JDL Misc Income'!F6*'JDL PROCESSING FEES MASTER'!F$10,""),IF('JDL Misc Income'!F6&lt;&gt;"",'JDL Misc Income'!F6*'JDL PROCESSING FEES MASTER'!F$14,""))&gt;'JDL PROCESSING FEES MASTER'!G$10,'JDL PROCESSING FEES MASTER'!G$10,IF(G6="Fresh",IF('JDL Misc Income'!F6&lt;&gt;"",'JDL Misc Income'!F6*'JDL PROCESSING FEES MASTER'!F$10,""),IF('JDL Misc Income'!F6&lt;&gt;"",'JDL Misc Income'!F6*'JDL PROCESSING FEES MASTER'!F$14,""))),"")</f>
        <v>82.5</v>
      </c>
      <c r="I6" s="20">
        <f>IF(F6&lt;&gt;"",IF(IF(G6="Fresh",IF('JDL Misc Income'!F6&lt;&gt;"",'JDL Misc Income'!F6*'JDL PROCESSING FEES MASTER'!F$10,""),IF('JDL Misc Income'!F6&lt;&gt;"",'JDL Misc Income'!F6*'JDL PROCESSING FEES MASTER'!F$14,""))&gt;'JDL PROCESSING FEES MASTER'!G$8,'JDL PROCESSING FEES MASTER'!G$8,IF(G6="Fresh",IF('JDL Misc Income'!F6&lt;&gt;"",'JDL Misc Income'!F6*'JDL PROCESSING FEES MASTER'!F$10,""),IF('JDL Misc Income'!F6&lt;&gt;"",'JDL Misc Income'!F6*'JDL PROCESSING FEES MASTER'!F$14,""))),"")</f>
        <v>82.5</v>
      </c>
      <c r="J6" s="20">
        <f>IF(AND(H6&lt;&gt;"",I6&lt;&gt;""),H6+I6,"")</f>
        <v>165</v>
      </c>
      <c r="K6" t="str">
        <f>IF(D6&lt;&gt;"","JDL Income Page - 1","")</f>
        <v>JDL Income Page - 1</v>
      </c>
    </row>
    <row r="7" spans="1:11" ht="38.25" customHeight="1" x14ac:dyDescent="0.3">
      <c r="A7" s="1">
        <v>2</v>
      </c>
      <c r="B7" s="15">
        <f>IF('[1]Main Sheet'!C6="","",358)</f>
        <v>358</v>
      </c>
      <c r="C7" s="16">
        <f>IF('[1]Main Sheet'!C6="","",'[1]Main Sheet'!C6)</f>
        <v>666</v>
      </c>
      <c r="D7" s="17">
        <f>IF('[1]Main Sheet'!D6="","",'[1]Main Sheet'!D6)</f>
        <v>258911</v>
      </c>
      <c r="E7" s="15" t="str">
        <f>IF('[1]Main Sheet'!E6="","",'[1]Main Sheet'!E6)</f>
        <v>GEETHA S</v>
      </c>
      <c r="F7" s="15">
        <f>IF('[1]Main Sheet'!I6="","",'[1]Main Sheet'!I6)</f>
        <v>40000</v>
      </c>
      <c r="G7" s="15" t="str">
        <f>IF('[1]Main Sheet'!L6="","",'[1]Main Sheet'!L6)</f>
        <v>Fresh</v>
      </c>
      <c r="H7" s="20">
        <f>IF(F7&lt;&gt;"",IF(IF(G7="Fresh",IF('JDL Misc Income'!F7&lt;&gt;"",'JDL Misc Income'!F7*'JDL PROCESSING FEES MASTER'!F$10,""),IF('JDL Misc Income'!F7&lt;&gt;"",'JDL Misc Income'!F7*'JDL PROCESSING FEES MASTER'!F$14,""))&gt;'JDL PROCESSING FEES MASTER'!G$10,'JDL PROCESSING FEES MASTER'!G$10,IF(G7="Fresh",IF('JDL Misc Income'!F7&lt;&gt;"",'JDL Misc Income'!F7*'JDL PROCESSING FEES MASTER'!F$10,""),IF('JDL Misc Income'!F7&lt;&gt;"",'JDL Misc Income'!F7*'JDL PROCESSING FEES MASTER'!F$14,""))),"")</f>
        <v>60</v>
      </c>
      <c r="I7" s="20">
        <f>IF(F7&lt;&gt;"",IF(IF(G7="Fresh",IF('JDL Misc Income'!F7&lt;&gt;"",'JDL Misc Income'!F7*'JDL PROCESSING FEES MASTER'!F$10,""),IF('JDL Misc Income'!F7&lt;&gt;"",'JDL Misc Income'!F7*'JDL PROCESSING FEES MASTER'!F$14,""))&gt;'JDL PROCESSING FEES MASTER'!G$8,'JDL PROCESSING FEES MASTER'!G$8,IF(G7="Fresh",IF('JDL Misc Income'!F7&lt;&gt;"",'JDL Misc Income'!F7*'JDL PROCESSING FEES MASTER'!F$10,""),IF('JDL Misc Income'!F7&lt;&gt;"",'JDL Misc Income'!F7*'JDL PROCESSING FEES MASTER'!F$14,""))),"")</f>
        <v>60</v>
      </c>
      <c r="J7" s="20">
        <f t="shared" ref="J7:J70" si="0">IF(AND(H7&lt;&gt;"",I7&lt;&gt;""),H7+I7,"")</f>
        <v>120</v>
      </c>
      <c r="K7" t="str">
        <f>IF(D26&lt;&gt;"","JDL Income Page - 2","")</f>
        <v/>
      </c>
    </row>
    <row r="8" spans="1:11" ht="38.25" customHeight="1" x14ac:dyDescent="0.3">
      <c r="A8" s="1">
        <v>3</v>
      </c>
      <c r="B8" s="15">
        <f>IF('[1]Main Sheet'!C7="","",358)</f>
        <v>358</v>
      </c>
      <c r="C8" s="16">
        <f>IF('[1]Main Sheet'!C7="","",'[1]Main Sheet'!C7)</f>
        <v>666</v>
      </c>
      <c r="D8" s="17">
        <f>IF('[1]Main Sheet'!D7="","",'[1]Main Sheet'!D7)</f>
        <v>258923</v>
      </c>
      <c r="E8" s="15" t="str">
        <f>IF('[1]Main Sheet'!E7="","",'[1]Main Sheet'!E7)</f>
        <v>SUSILKUMAR</v>
      </c>
      <c r="F8" s="15">
        <f>IF('[1]Main Sheet'!I7="","",'[1]Main Sheet'!I7)</f>
        <v>30000</v>
      </c>
      <c r="G8" s="15" t="str">
        <f>IF('[1]Main Sheet'!L7="","",'[1]Main Sheet'!L7)</f>
        <v>Fresh</v>
      </c>
      <c r="H8" s="20">
        <f>IF(F8&lt;&gt;"",IF(IF(G8="Fresh",IF('JDL Misc Income'!F8&lt;&gt;"",'JDL Misc Income'!F8*'JDL PROCESSING FEES MASTER'!F$10,""),IF('JDL Misc Income'!F8&lt;&gt;"",'JDL Misc Income'!F8*'JDL PROCESSING FEES MASTER'!F$14,""))&gt;'JDL PROCESSING FEES MASTER'!G$10,'JDL PROCESSING FEES MASTER'!G$10,IF(G8="Fresh",IF('JDL Misc Income'!F8&lt;&gt;"",'JDL Misc Income'!F8*'JDL PROCESSING FEES MASTER'!F$10,""),IF('JDL Misc Income'!F8&lt;&gt;"",'JDL Misc Income'!F8*'JDL PROCESSING FEES MASTER'!F$14,""))),"")</f>
        <v>45</v>
      </c>
      <c r="I8" s="20">
        <f>IF(F8&lt;&gt;"",IF(IF(G8="Fresh",IF('JDL Misc Income'!F8&lt;&gt;"",'JDL Misc Income'!F8*'JDL PROCESSING FEES MASTER'!F$10,""),IF('JDL Misc Income'!F8&lt;&gt;"",'JDL Misc Income'!F8*'JDL PROCESSING FEES MASTER'!F$14,""))&gt;'JDL PROCESSING FEES MASTER'!G$8,'JDL PROCESSING FEES MASTER'!G$8,IF(G8="Fresh",IF('JDL Misc Income'!F8&lt;&gt;"",'JDL Misc Income'!F8*'JDL PROCESSING FEES MASTER'!F$10,""),IF('JDL Misc Income'!F8&lt;&gt;"",'JDL Misc Income'!F8*'JDL PROCESSING FEES MASTER'!F$14,""))),"")</f>
        <v>45</v>
      </c>
      <c r="J8" s="20">
        <f t="shared" si="0"/>
        <v>90</v>
      </c>
      <c r="K8" t="str">
        <f>IF(D46&lt;&gt;"","JDL Income Page - 3","")</f>
        <v/>
      </c>
    </row>
    <row r="9" spans="1:11" ht="38.25" customHeight="1" x14ac:dyDescent="0.3">
      <c r="A9" s="1">
        <v>4</v>
      </c>
      <c r="B9" s="15">
        <f>IF('[1]Main Sheet'!C8="","",358)</f>
        <v>358</v>
      </c>
      <c r="C9" s="16">
        <f>IF('[1]Main Sheet'!C8="","",'[1]Main Sheet'!C8)</f>
        <v>666</v>
      </c>
      <c r="D9" s="17">
        <f>IF('[1]Main Sheet'!D8="","",'[1]Main Sheet'!D8)</f>
        <v>258930</v>
      </c>
      <c r="E9" s="15" t="str">
        <f>IF('[1]Main Sheet'!E8="","",'[1]Main Sheet'!E8)</f>
        <v>VARADARAJAN</v>
      </c>
      <c r="F9" s="15">
        <f>IF('[1]Main Sheet'!I8="","",'[1]Main Sheet'!I8)</f>
        <v>54500</v>
      </c>
      <c r="G9" s="15" t="str">
        <f>IF('[1]Main Sheet'!L8="","",'[1]Main Sheet'!L8)</f>
        <v>Fresh</v>
      </c>
      <c r="H9" s="20">
        <f>IF(F9&lt;&gt;"",IF(IF(G9="Fresh",IF('JDL Misc Income'!F9&lt;&gt;"",'JDL Misc Income'!F9*'JDL PROCESSING FEES MASTER'!F$10,""),IF('JDL Misc Income'!F9&lt;&gt;"",'JDL Misc Income'!F9*'JDL PROCESSING FEES MASTER'!F$14,""))&gt;'JDL PROCESSING FEES MASTER'!G$10,'JDL PROCESSING FEES MASTER'!G$10,IF(G9="Fresh",IF('JDL Misc Income'!F9&lt;&gt;"",'JDL Misc Income'!F9*'JDL PROCESSING FEES MASTER'!F$10,""),IF('JDL Misc Income'!F9&lt;&gt;"",'JDL Misc Income'!F9*'JDL PROCESSING FEES MASTER'!F$14,""))),"")</f>
        <v>81.75</v>
      </c>
      <c r="I9" s="20">
        <f>IF(F9&lt;&gt;"",IF(IF(G9="Fresh",IF('JDL Misc Income'!F9&lt;&gt;"",'JDL Misc Income'!F9*'JDL PROCESSING FEES MASTER'!F$10,""),IF('JDL Misc Income'!F9&lt;&gt;"",'JDL Misc Income'!F9*'JDL PROCESSING FEES MASTER'!F$14,""))&gt;'JDL PROCESSING FEES MASTER'!G$8,'JDL PROCESSING FEES MASTER'!G$8,IF(G9="Fresh",IF('JDL Misc Income'!F9&lt;&gt;"",'JDL Misc Income'!F9*'JDL PROCESSING FEES MASTER'!F$10,""),IF('JDL Misc Income'!F9&lt;&gt;"",'JDL Misc Income'!F9*'JDL PROCESSING FEES MASTER'!F$14,""))),"")</f>
        <v>81.75</v>
      </c>
      <c r="J9" s="20">
        <f t="shared" si="0"/>
        <v>163.5</v>
      </c>
      <c r="K9" t="str">
        <f>IF(D66&lt;&gt;"","JDL Income Page - 4","")</f>
        <v/>
      </c>
    </row>
    <row r="10" spans="1:11" ht="38.25" customHeight="1" x14ac:dyDescent="0.3">
      <c r="A10" s="1">
        <v>5</v>
      </c>
      <c r="B10" s="15">
        <f>IF('[1]Main Sheet'!C9="","",358)</f>
        <v>358</v>
      </c>
      <c r="C10" s="16">
        <f>IF('[1]Main Sheet'!C9="","",'[1]Main Sheet'!C9)</f>
        <v>666</v>
      </c>
      <c r="D10" s="17">
        <f>IF('[1]Main Sheet'!D9="","",'[1]Main Sheet'!D9)</f>
        <v>258942</v>
      </c>
      <c r="E10" s="15" t="str">
        <f>IF('[1]Main Sheet'!E9="","",'[1]Main Sheet'!E9)</f>
        <v>SUSILKUMAR</v>
      </c>
      <c r="F10" s="15">
        <f>IF('[1]Main Sheet'!I9="","",'[1]Main Sheet'!I9)</f>
        <v>30000</v>
      </c>
      <c r="G10" s="15" t="str">
        <f>IF('[1]Main Sheet'!L9="","",'[1]Main Sheet'!L9)</f>
        <v>Fresh</v>
      </c>
      <c r="H10" s="20">
        <f>IF(F10&lt;&gt;"",IF(IF(G10="Fresh",IF('JDL Misc Income'!F10&lt;&gt;"",'JDL Misc Income'!F10*'JDL PROCESSING FEES MASTER'!F$10,""),IF('JDL Misc Income'!F10&lt;&gt;"",'JDL Misc Income'!F10*'JDL PROCESSING FEES MASTER'!F$14,""))&gt;'JDL PROCESSING FEES MASTER'!G$10,'JDL PROCESSING FEES MASTER'!G$10,IF(G10="Fresh",IF('JDL Misc Income'!F10&lt;&gt;"",'JDL Misc Income'!F10*'JDL PROCESSING FEES MASTER'!F$10,""),IF('JDL Misc Income'!F10&lt;&gt;"",'JDL Misc Income'!F10*'JDL PROCESSING FEES MASTER'!F$14,""))),"")</f>
        <v>45</v>
      </c>
      <c r="I10" s="20">
        <f>IF(F10&lt;&gt;"",IF(IF(G10="Fresh",IF('JDL Misc Income'!F10&lt;&gt;"",'JDL Misc Income'!F10*'JDL PROCESSING FEES MASTER'!F$10,""),IF('JDL Misc Income'!F10&lt;&gt;"",'JDL Misc Income'!F10*'JDL PROCESSING FEES MASTER'!F$14,""))&gt;'JDL PROCESSING FEES MASTER'!G$8,'JDL PROCESSING FEES MASTER'!G$8,IF(G10="Fresh",IF('JDL Misc Income'!F10&lt;&gt;"",'JDL Misc Income'!F10*'JDL PROCESSING FEES MASTER'!F$10,""),IF('JDL Misc Income'!F10&lt;&gt;"",'JDL Misc Income'!F10*'JDL PROCESSING FEES MASTER'!F$14,""))),"")</f>
        <v>45</v>
      </c>
      <c r="J10" s="20">
        <f t="shared" si="0"/>
        <v>90</v>
      </c>
      <c r="K10" t="str">
        <f>IF(D86&lt;&gt;"","JDL Income Page - 5","")</f>
        <v/>
      </c>
    </row>
    <row r="11" spans="1:11" ht="38.25" customHeight="1" x14ac:dyDescent="0.3">
      <c r="A11" s="1">
        <v>6</v>
      </c>
      <c r="B11" s="15">
        <f>IF('[1]Main Sheet'!C10="","",358)</f>
        <v>358</v>
      </c>
      <c r="C11" s="16">
        <f>IF('[1]Main Sheet'!C10="","",'[1]Main Sheet'!C10)</f>
        <v>666</v>
      </c>
      <c r="D11" s="17">
        <f>IF('[1]Main Sheet'!D10="","",'[1]Main Sheet'!D10)</f>
        <v>258954</v>
      </c>
      <c r="E11" s="15" t="str">
        <f>IF('[1]Main Sheet'!E10="","",'[1]Main Sheet'!E10)</f>
        <v>THIYAGARAJAN</v>
      </c>
      <c r="F11" s="15">
        <f>IF('[1]Main Sheet'!I10="","",'[1]Main Sheet'!I10)</f>
        <v>28500</v>
      </c>
      <c r="G11" s="15" t="str">
        <f>IF('[1]Main Sheet'!L10="","",'[1]Main Sheet'!L10)</f>
        <v>Fresh</v>
      </c>
      <c r="H11" s="20">
        <f>IF(F11&lt;&gt;"",IF(IF(G11="Fresh",IF('JDL Misc Income'!F11&lt;&gt;"",'JDL Misc Income'!F11*'JDL PROCESSING FEES MASTER'!F$10,""),IF('JDL Misc Income'!F11&lt;&gt;"",'JDL Misc Income'!F11*'JDL PROCESSING FEES MASTER'!F$14,""))&gt;'JDL PROCESSING FEES MASTER'!G$10,'JDL PROCESSING FEES MASTER'!G$10,IF(G11="Fresh",IF('JDL Misc Income'!F11&lt;&gt;"",'JDL Misc Income'!F11*'JDL PROCESSING FEES MASTER'!F$10,""),IF('JDL Misc Income'!F11&lt;&gt;"",'JDL Misc Income'!F11*'JDL PROCESSING FEES MASTER'!F$14,""))),"")</f>
        <v>42.75</v>
      </c>
      <c r="I11" s="20">
        <f>IF(F11&lt;&gt;"",IF(IF(G11="Fresh",IF('JDL Misc Income'!F11&lt;&gt;"",'JDL Misc Income'!F11*'JDL PROCESSING FEES MASTER'!F$10,""),IF('JDL Misc Income'!F11&lt;&gt;"",'JDL Misc Income'!F11*'JDL PROCESSING FEES MASTER'!F$14,""))&gt;'JDL PROCESSING FEES MASTER'!G$8,'JDL PROCESSING FEES MASTER'!G$8,IF(G11="Fresh",IF('JDL Misc Income'!F11&lt;&gt;"",'JDL Misc Income'!F11*'JDL PROCESSING FEES MASTER'!F$10,""),IF('JDL Misc Income'!F11&lt;&gt;"",'JDL Misc Income'!F11*'JDL PROCESSING FEES MASTER'!F$14,""))),"")</f>
        <v>42.75</v>
      </c>
      <c r="J11" s="20">
        <f t="shared" si="0"/>
        <v>85.5</v>
      </c>
    </row>
    <row r="12" spans="1:11" ht="38.25" customHeight="1" x14ac:dyDescent="0.3">
      <c r="A12" s="1">
        <v>7</v>
      </c>
      <c r="B12" s="15">
        <f>IF('[1]Main Sheet'!C11="","",358)</f>
        <v>358</v>
      </c>
      <c r="C12" s="16">
        <f>IF('[1]Main Sheet'!C11="","",'[1]Main Sheet'!C11)</f>
        <v>666</v>
      </c>
      <c r="D12" s="17">
        <f>IF('[1]Main Sheet'!D11="","",'[1]Main Sheet'!D11)</f>
        <v>258966</v>
      </c>
      <c r="E12" s="15" t="str">
        <f>IF('[1]Main Sheet'!E11="","",'[1]Main Sheet'!E11)</f>
        <v>MAPPILAIMOIDEEN</v>
      </c>
      <c r="F12" s="15">
        <f>IF('[1]Main Sheet'!I11="","",'[1]Main Sheet'!I11)</f>
        <v>70000</v>
      </c>
      <c r="G12" s="15" t="str">
        <f>IF('[1]Main Sheet'!L11="","",'[1]Main Sheet'!L11)</f>
        <v>Renewal</v>
      </c>
      <c r="H12" s="20">
        <f>IF(F12&lt;&gt;"",IF(IF(G12="Fresh",IF('JDL Misc Income'!F12&lt;&gt;"",'JDL Misc Income'!F12*'JDL PROCESSING FEES MASTER'!F$10,""),IF('JDL Misc Income'!F12&lt;&gt;"",'JDL Misc Income'!F12*'JDL PROCESSING FEES MASTER'!F$14,""))&gt;'JDL PROCESSING FEES MASTER'!G$10,'JDL PROCESSING FEES MASTER'!G$10,IF(G12="Fresh",IF('JDL Misc Income'!F12&lt;&gt;"",'JDL Misc Income'!F12*'JDL PROCESSING FEES MASTER'!F$10,""),IF('JDL Misc Income'!F12&lt;&gt;"",'JDL Misc Income'!F12*'JDL PROCESSING FEES MASTER'!F$14,""))),"")</f>
        <v>52.5</v>
      </c>
      <c r="I12" s="20">
        <f>IF(F12&lt;&gt;"",IF(IF(G12="Fresh",IF('JDL Misc Income'!F12&lt;&gt;"",'JDL Misc Income'!F12*'JDL PROCESSING FEES MASTER'!F$10,""),IF('JDL Misc Income'!F12&lt;&gt;"",'JDL Misc Income'!F12*'JDL PROCESSING FEES MASTER'!F$14,""))&gt;'JDL PROCESSING FEES MASTER'!G$8,'JDL PROCESSING FEES MASTER'!G$8,IF(G12="Fresh",IF('JDL Misc Income'!F12&lt;&gt;"",'JDL Misc Income'!F12*'JDL PROCESSING FEES MASTER'!F$10,""),IF('JDL Misc Income'!F12&lt;&gt;"",'JDL Misc Income'!F12*'JDL PROCESSING FEES MASTER'!F$14,""))),"")</f>
        <v>52.5</v>
      </c>
      <c r="J12" s="20">
        <f t="shared" si="0"/>
        <v>105</v>
      </c>
    </row>
    <row r="13" spans="1:11" ht="38.25" customHeight="1" x14ac:dyDescent="0.3">
      <c r="A13" s="1">
        <v>8</v>
      </c>
      <c r="B13" s="15">
        <f>IF('[1]Main Sheet'!C12="","",358)</f>
        <v>358</v>
      </c>
      <c r="C13" s="16">
        <f>IF('[1]Main Sheet'!C12="","",'[1]Main Sheet'!C12)</f>
        <v>666</v>
      </c>
      <c r="D13" s="17">
        <f>IF('[1]Main Sheet'!D12="","",'[1]Main Sheet'!D12)</f>
        <v>258978</v>
      </c>
      <c r="E13" s="15" t="str">
        <f>IF('[1]Main Sheet'!E12="","",'[1]Main Sheet'!E12)</f>
        <v>KANNAN</v>
      </c>
      <c r="F13" s="15">
        <f>IF('[1]Main Sheet'!I12="","",'[1]Main Sheet'!I12)</f>
        <v>30000</v>
      </c>
      <c r="G13" s="15" t="str">
        <f>IF('[1]Main Sheet'!L12="","",'[1]Main Sheet'!L12)</f>
        <v>Fresh</v>
      </c>
      <c r="H13" s="20">
        <f>IF(F13&lt;&gt;"",IF(IF(G13="Fresh",IF('JDL Misc Income'!F13&lt;&gt;"",'JDL Misc Income'!F13*'JDL PROCESSING FEES MASTER'!F$10,""),IF('JDL Misc Income'!F13&lt;&gt;"",'JDL Misc Income'!F13*'JDL PROCESSING FEES MASTER'!F$14,""))&gt;'JDL PROCESSING FEES MASTER'!G$10,'JDL PROCESSING FEES MASTER'!G$10,IF(G13="Fresh",IF('JDL Misc Income'!F13&lt;&gt;"",'JDL Misc Income'!F13*'JDL PROCESSING FEES MASTER'!F$10,""),IF('JDL Misc Income'!F13&lt;&gt;"",'JDL Misc Income'!F13*'JDL PROCESSING FEES MASTER'!F$14,""))),"")</f>
        <v>45</v>
      </c>
      <c r="I13" s="20">
        <f>IF(F13&lt;&gt;"",IF(IF(G13="Fresh",IF('JDL Misc Income'!F13&lt;&gt;"",'JDL Misc Income'!F13*'JDL PROCESSING FEES MASTER'!F$10,""),IF('JDL Misc Income'!F13&lt;&gt;"",'JDL Misc Income'!F13*'JDL PROCESSING FEES MASTER'!F$14,""))&gt;'JDL PROCESSING FEES MASTER'!G$8,'JDL PROCESSING FEES MASTER'!G$8,IF(G13="Fresh",IF('JDL Misc Income'!F13&lt;&gt;"",'JDL Misc Income'!F13*'JDL PROCESSING FEES MASTER'!F$10,""),IF('JDL Misc Income'!F13&lt;&gt;"",'JDL Misc Income'!F13*'JDL PROCESSING FEES MASTER'!F$14,""))),"")</f>
        <v>45</v>
      </c>
      <c r="J13" s="20">
        <f t="shared" si="0"/>
        <v>90</v>
      </c>
    </row>
    <row r="14" spans="1:11" ht="38.25" customHeight="1" x14ac:dyDescent="0.3">
      <c r="A14" s="1">
        <v>9</v>
      </c>
      <c r="B14" s="15">
        <f>IF('[1]Main Sheet'!C13="","",358)</f>
        <v>358</v>
      </c>
      <c r="C14" s="16">
        <f>IF('[1]Main Sheet'!C13="","",'[1]Main Sheet'!C13)</f>
        <v>666</v>
      </c>
      <c r="D14" s="17">
        <f>IF('[1]Main Sheet'!D13="","",'[1]Main Sheet'!D13)</f>
        <v>258980</v>
      </c>
      <c r="E14" s="15" t="str">
        <f>IF('[1]Main Sheet'!E13="","",'[1]Main Sheet'!E13)</f>
        <v>KAPPUDEVI</v>
      </c>
      <c r="F14" s="15">
        <f>IF('[1]Main Sheet'!I13="","",'[1]Main Sheet'!I13)</f>
        <v>40500</v>
      </c>
      <c r="G14" s="15" t="str">
        <f>IF('[1]Main Sheet'!L13="","",'[1]Main Sheet'!L13)</f>
        <v>Fresh</v>
      </c>
      <c r="H14" s="20">
        <f>IF(F14&lt;&gt;"",IF(IF(G14="Fresh",IF('JDL Misc Income'!F14&lt;&gt;"",'JDL Misc Income'!F14*'JDL PROCESSING FEES MASTER'!F$10,""),IF('JDL Misc Income'!F14&lt;&gt;"",'JDL Misc Income'!F14*'JDL PROCESSING FEES MASTER'!F$14,""))&gt;'JDL PROCESSING FEES MASTER'!G$10,'JDL PROCESSING FEES MASTER'!G$10,IF(G14="Fresh",IF('JDL Misc Income'!F14&lt;&gt;"",'JDL Misc Income'!F14*'JDL PROCESSING FEES MASTER'!F$10,""),IF('JDL Misc Income'!F14&lt;&gt;"",'JDL Misc Income'!F14*'JDL PROCESSING FEES MASTER'!F$14,""))),"")</f>
        <v>60.75</v>
      </c>
      <c r="I14" s="20">
        <f>IF(F14&lt;&gt;"",IF(IF(G14="Fresh",IF('JDL Misc Income'!F14&lt;&gt;"",'JDL Misc Income'!F14*'JDL PROCESSING FEES MASTER'!F$10,""),IF('JDL Misc Income'!F14&lt;&gt;"",'JDL Misc Income'!F14*'JDL PROCESSING FEES MASTER'!F$14,""))&gt;'JDL PROCESSING FEES MASTER'!G$8,'JDL PROCESSING FEES MASTER'!G$8,IF(G14="Fresh",IF('JDL Misc Income'!F14&lt;&gt;"",'JDL Misc Income'!F14*'JDL PROCESSING FEES MASTER'!F$10,""),IF('JDL Misc Income'!F14&lt;&gt;"",'JDL Misc Income'!F14*'JDL PROCESSING FEES MASTER'!F$14,""))),"")</f>
        <v>60.75</v>
      </c>
      <c r="J14" s="20">
        <f t="shared" si="0"/>
        <v>121.5</v>
      </c>
    </row>
    <row r="15" spans="1:11" ht="38.25" customHeight="1" x14ac:dyDescent="0.3">
      <c r="A15" s="1">
        <v>10</v>
      </c>
      <c r="B15" s="15">
        <f>IF('[1]Main Sheet'!C14="","",358)</f>
        <v>358</v>
      </c>
      <c r="C15" s="16">
        <f>IF('[1]Main Sheet'!C14="","",'[1]Main Sheet'!C14)</f>
        <v>666</v>
      </c>
      <c r="D15" s="17">
        <f>IF('[1]Main Sheet'!D14="","",'[1]Main Sheet'!D14)</f>
        <v>258992</v>
      </c>
      <c r="E15" s="15" t="str">
        <f>IF('[1]Main Sheet'!E14="","",'[1]Main Sheet'!E14)</f>
        <v>MOHAN</v>
      </c>
      <c r="F15" s="15">
        <f>IF('[1]Main Sheet'!I14="","",'[1]Main Sheet'!I14)</f>
        <v>40000</v>
      </c>
      <c r="G15" s="15" t="str">
        <f>IF('[1]Main Sheet'!L14="","",'[1]Main Sheet'!L14)</f>
        <v>Fresh</v>
      </c>
      <c r="H15" s="20">
        <f>IF(F15&lt;&gt;"",IF(IF(G15="Fresh",IF('JDL Misc Income'!F15&lt;&gt;"",'JDL Misc Income'!F15*'JDL PROCESSING FEES MASTER'!F$10,""),IF('JDL Misc Income'!F15&lt;&gt;"",'JDL Misc Income'!F15*'JDL PROCESSING FEES MASTER'!F$14,""))&gt;'JDL PROCESSING FEES MASTER'!G$10,'JDL PROCESSING FEES MASTER'!G$10,IF(G15="Fresh",IF('JDL Misc Income'!F15&lt;&gt;"",'JDL Misc Income'!F15*'JDL PROCESSING FEES MASTER'!F$10,""),IF('JDL Misc Income'!F15&lt;&gt;"",'JDL Misc Income'!F15*'JDL PROCESSING FEES MASTER'!F$14,""))),"")</f>
        <v>60</v>
      </c>
      <c r="I15" s="20">
        <f>IF(F15&lt;&gt;"",IF(IF(G15="Fresh",IF('JDL Misc Income'!F15&lt;&gt;"",'JDL Misc Income'!F15*'JDL PROCESSING FEES MASTER'!F$10,""),IF('JDL Misc Income'!F15&lt;&gt;"",'JDL Misc Income'!F15*'JDL PROCESSING FEES MASTER'!F$14,""))&gt;'JDL PROCESSING FEES MASTER'!G$8,'JDL PROCESSING FEES MASTER'!G$8,IF(G15="Fresh",IF('JDL Misc Income'!F15&lt;&gt;"",'JDL Misc Income'!F15*'JDL PROCESSING FEES MASTER'!F$10,""),IF('JDL Misc Income'!F15&lt;&gt;"",'JDL Misc Income'!F15*'JDL PROCESSING FEES MASTER'!F$14,""))),"")</f>
        <v>60</v>
      </c>
      <c r="J15" s="20">
        <f t="shared" si="0"/>
        <v>120</v>
      </c>
    </row>
    <row r="16" spans="1:11" ht="38.25" customHeight="1" x14ac:dyDescent="0.3">
      <c r="A16" s="1">
        <v>11</v>
      </c>
      <c r="B16" s="15">
        <f>IF('[1]Main Sheet'!C15="","",358)</f>
        <v>358</v>
      </c>
      <c r="C16" s="16">
        <f>IF('[1]Main Sheet'!C15="","",'[1]Main Sheet'!C15)</f>
        <v>666</v>
      </c>
      <c r="D16" s="17">
        <f>IF('[1]Main Sheet'!D15="","",'[1]Main Sheet'!D15)</f>
        <v>259009</v>
      </c>
      <c r="E16" s="15" t="str">
        <f>IF('[1]Main Sheet'!E15="","",'[1]Main Sheet'!E15)</f>
        <v>MANIVEL</v>
      </c>
      <c r="F16" s="15">
        <f>IF('[1]Main Sheet'!I15="","",'[1]Main Sheet'!I15)</f>
        <v>33000</v>
      </c>
      <c r="G16" s="15" t="str">
        <f>IF('[1]Main Sheet'!L15="","",'[1]Main Sheet'!L15)</f>
        <v>Renewal</v>
      </c>
      <c r="H16" s="20">
        <f>IF(F16&lt;&gt;"",IF(IF(G16="Fresh",IF('JDL Misc Income'!F16&lt;&gt;"",'JDL Misc Income'!F16*'JDL PROCESSING FEES MASTER'!F$10,""),IF('JDL Misc Income'!F16&lt;&gt;"",'JDL Misc Income'!F16*'JDL PROCESSING FEES MASTER'!F$14,""))&gt;'JDL PROCESSING FEES MASTER'!G$10,'JDL PROCESSING FEES MASTER'!G$10,IF(G16="Fresh",IF('JDL Misc Income'!F16&lt;&gt;"",'JDL Misc Income'!F16*'JDL PROCESSING FEES MASTER'!F$10,""),IF('JDL Misc Income'!F16&lt;&gt;"",'JDL Misc Income'!F16*'JDL PROCESSING FEES MASTER'!F$14,""))),"")</f>
        <v>24.75</v>
      </c>
      <c r="I16" s="20">
        <f>IF(F16&lt;&gt;"",IF(IF(G16="Fresh",IF('JDL Misc Income'!F16&lt;&gt;"",'JDL Misc Income'!F16*'JDL PROCESSING FEES MASTER'!F$10,""),IF('JDL Misc Income'!F16&lt;&gt;"",'JDL Misc Income'!F16*'JDL PROCESSING FEES MASTER'!F$14,""))&gt;'JDL PROCESSING FEES MASTER'!G$8,'JDL PROCESSING FEES MASTER'!G$8,IF(G16="Fresh",IF('JDL Misc Income'!F16&lt;&gt;"",'JDL Misc Income'!F16*'JDL PROCESSING FEES MASTER'!F$10,""),IF('JDL Misc Income'!F16&lt;&gt;"",'JDL Misc Income'!F16*'JDL PROCESSING FEES MASTER'!F$14,""))),"")</f>
        <v>24.75</v>
      </c>
      <c r="J16" s="20">
        <f t="shared" si="0"/>
        <v>49.5</v>
      </c>
    </row>
    <row r="17" spans="1:10" ht="38.25" customHeight="1" x14ac:dyDescent="0.3">
      <c r="A17" s="1">
        <v>12</v>
      </c>
      <c r="B17" s="15">
        <f>IF('[1]Main Sheet'!C16="","",358)</f>
        <v>358</v>
      </c>
      <c r="C17" s="16">
        <f>IF('[1]Main Sheet'!C16="","",'[1]Main Sheet'!C16)</f>
        <v>666</v>
      </c>
      <c r="D17" s="17">
        <f>IF('[1]Main Sheet'!D16="","",'[1]Main Sheet'!D16)</f>
        <v>259011</v>
      </c>
      <c r="E17" s="15" t="str">
        <f>IF('[1]Main Sheet'!E16="","",'[1]Main Sheet'!E16)</f>
        <v>C RAJA</v>
      </c>
      <c r="F17" s="15">
        <f>IF('[1]Main Sheet'!I16="","",'[1]Main Sheet'!I16)</f>
        <v>22500</v>
      </c>
      <c r="G17" s="15" t="str">
        <f>IF('[1]Main Sheet'!L16="","",'[1]Main Sheet'!L16)</f>
        <v>Fresh</v>
      </c>
      <c r="H17" s="20">
        <f>IF(F17&lt;&gt;"",IF(IF(G17="Fresh",IF('JDL Misc Income'!F17&lt;&gt;"",'JDL Misc Income'!F17*'JDL PROCESSING FEES MASTER'!F$10,""),IF('JDL Misc Income'!F17&lt;&gt;"",'JDL Misc Income'!F17*'JDL PROCESSING FEES MASTER'!F$14,""))&gt;'JDL PROCESSING FEES MASTER'!G$10,'JDL PROCESSING FEES MASTER'!G$10,IF(G17="Fresh",IF('JDL Misc Income'!F17&lt;&gt;"",'JDL Misc Income'!F17*'JDL PROCESSING FEES MASTER'!F$10,""),IF('JDL Misc Income'!F17&lt;&gt;"",'JDL Misc Income'!F17*'JDL PROCESSING FEES MASTER'!F$14,""))),"")</f>
        <v>33.75</v>
      </c>
      <c r="I17" s="20">
        <f>IF(F17&lt;&gt;"",IF(IF(G17="Fresh",IF('JDL Misc Income'!F17&lt;&gt;"",'JDL Misc Income'!F17*'JDL PROCESSING FEES MASTER'!F$10,""),IF('JDL Misc Income'!F17&lt;&gt;"",'JDL Misc Income'!F17*'JDL PROCESSING FEES MASTER'!F$14,""))&gt;'JDL PROCESSING FEES MASTER'!G$8,'JDL PROCESSING FEES MASTER'!G$8,IF(G17="Fresh",IF('JDL Misc Income'!F17&lt;&gt;"",'JDL Misc Income'!F17*'JDL PROCESSING FEES MASTER'!F$10,""),IF('JDL Misc Income'!F17&lt;&gt;"",'JDL Misc Income'!F17*'JDL PROCESSING FEES MASTER'!F$14,""))),"")</f>
        <v>33.75</v>
      </c>
      <c r="J17" s="20">
        <f t="shared" si="0"/>
        <v>67.5</v>
      </c>
    </row>
    <row r="18" spans="1:10" ht="38.25" customHeight="1" x14ac:dyDescent="0.3">
      <c r="A18" s="1">
        <v>13</v>
      </c>
      <c r="B18" s="15">
        <f>IF('[1]Main Sheet'!C17="","",358)</f>
        <v>358</v>
      </c>
      <c r="C18" s="16">
        <f>IF('[1]Main Sheet'!C17="","",'[1]Main Sheet'!C17)</f>
        <v>666</v>
      </c>
      <c r="D18" s="17">
        <f>IF('[1]Main Sheet'!D17="","",'[1]Main Sheet'!D17)</f>
        <v>259023</v>
      </c>
      <c r="E18" s="15" t="str">
        <f>IF('[1]Main Sheet'!E17="","",'[1]Main Sheet'!E17)</f>
        <v>SHIVLAL</v>
      </c>
      <c r="F18" s="15">
        <f>IF('[1]Main Sheet'!I17="","",'[1]Main Sheet'!I17)</f>
        <v>40000</v>
      </c>
      <c r="G18" s="15" t="str">
        <f>IF('[1]Main Sheet'!L17="","",'[1]Main Sheet'!L17)</f>
        <v>Fresh</v>
      </c>
      <c r="H18" s="20">
        <f>IF(F18&lt;&gt;"",IF(IF(G18="Fresh",IF('JDL Misc Income'!F18&lt;&gt;"",'JDL Misc Income'!F18*'JDL PROCESSING FEES MASTER'!F$10,""),IF('JDL Misc Income'!F18&lt;&gt;"",'JDL Misc Income'!F18*'JDL PROCESSING FEES MASTER'!F$14,""))&gt;'JDL PROCESSING FEES MASTER'!G$10,'JDL PROCESSING FEES MASTER'!G$10,IF(G18="Fresh",IF('JDL Misc Income'!F18&lt;&gt;"",'JDL Misc Income'!F18*'JDL PROCESSING FEES MASTER'!F$10,""),IF('JDL Misc Income'!F18&lt;&gt;"",'JDL Misc Income'!F18*'JDL PROCESSING FEES MASTER'!F$14,""))),"")</f>
        <v>60</v>
      </c>
      <c r="I18" s="20">
        <f>IF(F18&lt;&gt;"",IF(IF(G18="Fresh",IF('JDL Misc Income'!F18&lt;&gt;"",'JDL Misc Income'!F18*'JDL PROCESSING FEES MASTER'!F$10,""),IF('JDL Misc Income'!F18&lt;&gt;"",'JDL Misc Income'!F18*'JDL PROCESSING FEES MASTER'!F$14,""))&gt;'JDL PROCESSING FEES MASTER'!G$8,'JDL PROCESSING FEES MASTER'!G$8,IF(G18="Fresh",IF('JDL Misc Income'!F18&lt;&gt;"",'JDL Misc Income'!F18*'JDL PROCESSING FEES MASTER'!F$10,""),IF('JDL Misc Income'!F18&lt;&gt;"",'JDL Misc Income'!F18*'JDL PROCESSING FEES MASTER'!F$14,""))),"")</f>
        <v>60</v>
      </c>
      <c r="J18" s="20">
        <f t="shared" si="0"/>
        <v>120</v>
      </c>
    </row>
    <row r="19" spans="1:10" ht="38.25" customHeight="1" x14ac:dyDescent="0.3">
      <c r="A19" s="1">
        <v>14</v>
      </c>
      <c r="B19" s="15">
        <f>IF('[1]Main Sheet'!C18="","",358)</f>
        <v>358</v>
      </c>
      <c r="C19" s="16">
        <f>IF('[1]Main Sheet'!C18="","",'[1]Main Sheet'!C18)</f>
        <v>666</v>
      </c>
      <c r="D19" s="17" t="str">
        <f>IF('[1]Main Sheet'!D18="","",'[1]Main Sheet'!D18)</f>
        <v/>
      </c>
      <c r="E19" s="15" t="str">
        <f>IF('[1]Main Sheet'!E18="","",'[1]Main Sheet'!E18)</f>
        <v/>
      </c>
      <c r="F19" s="15" t="str">
        <f>IF('[1]Main Sheet'!I18="","",'[1]Main Sheet'!I18)</f>
        <v/>
      </c>
      <c r="G19" s="15" t="str">
        <f>IF('[1]Main Sheet'!L18="","",'[1]Main Sheet'!L18)</f>
        <v>Renewal</v>
      </c>
      <c r="H19" s="20" t="str">
        <f>IF(F19&lt;&gt;"",IF(IF(G19="Fresh",IF('JDL Misc Income'!F19&lt;&gt;"",'JDL Misc Income'!F19*'JDL PROCESSING FEES MASTER'!F$10,""),IF('JDL Misc Income'!F19&lt;&gt;"",'JDL Misc Income'!F19*'JDL PROCESSING FEES MASTER'!F$14,""))&gt;'JDL PROCESSING FEES MASTER'!G$10,'JDL PROCESSING FEES MASTER'!G$10,IF(G19="Fresh",IF('JDL Misc Income'!F19&lt;&gt;"",'JDL Misc Income'!F19*'JDL PROCESSING FEES MASTER'!F$10,""),IF('JDL Misc Income'!F19&lt;&gt;"",'JDL Misc Income'!F19*'JDL PROCESSING FEES MASTER'!F$14,""))),"")</f>
        <v/>
      </c>
      <c r="I19" s="20" t="str">
        <f>IF(F19&lt;&gt;"",IF(IF(G19="Fresh",IF('JDL Misc Income'!F19&lt;&gt;"",'JDL Misc Income'!F19*'JDL PROCESSING FEES MASTER'!F$10,""),IF('JDL Misc Income'!F19&lt;&gt;"",'JDL Misc Income'!F19*'JDL PROCESSING FEES MASTER'!F$14,""))&gt;'JDL PROCESSING FEES MASTER'!G$8,'JDL PROCESSING FEES MASTER'!G$8,IF(G19="Fresh",IF('JDL Misc Income'!F19&lt;&gt;"",'JDL Misc Income'!F19*'JDL PROCESSING FEES MASTER'!F$10,""),IF('JDL Misc Income'!F19&lt;&gt;"",'JDL Misc Income'!F19*'JDL PROCESSING FEES MASTER'!F$14,""))),"")</f>
        <v/>
      </c>
      <c r="J19" s="20" t="str">
        <f t="shared" si="0"/>
        <v/>
      </c>
    </row>
    <row r="20" spans="1:10" ht="38.25" customHeight="1" x14ac:dyDescent="0.3">
      <c r="A20" s="1">
        <v>15</v>
      </c>
      <c r="B20" s="15">
        <f>IF('[1]Main Sheet'!C19="","",358)</f>
        <v>358</v>
      </c>
      <c r="C20" s="16">
        <f>IF('[1]Main Sheet'!C19="","",'[1]Main Sheet'!C19)</f>
        <v>666</v>
      </c>
      <c r="D20" s="17" t="str">
        <f>IF('[1]Main Sheet'!D19="","",'[1]Main Sheet'!D19)</f>
        <v/>
      </c>
      <c r="E20" s="15" t="str">
        <f>IF('[1]Main Sheet'!E19="","",'[1]Main Sheet'!E19)</f>
        <v/>
      </c>
      <c r="F20" s="15" t="str">
        <f>IF('[1]Main Sheet'!I19="","",'[1]Main Sheet'!I19)</f>
        <v/>
      </c>
      <c r="G20" s="15" t="str">
        <f>IF('[1]Main Sheet'!L19="","",'[1]Main Sheet'!L19)</f>
        <v>Renewal</v>
      </c>
      <c r="H20" s="20" t="str">
        <f>IF(F20&lt;&gt;"",IF(IF(G20="Fresh",IF('JDL Misc Income'!F20&lt;&gt;"",'JDL Misc Income'!F20*'JDL PROCESSING FEES MASTER'!F$10,""),IF('JDL Misc Income'!F20&lt;&gt;"",'JDL Misc Income'!F20*'JDL PROCESSING FEES MASTER'!F$14,""))&gt;'JDL PROCESSING FEES MASTER'!G$10,'JDL PROCESSING FEES MASTER'!G$10,IF(G20="Fresh",IF('JDL Misc Income'!F20&lt;&gt;"",'JDL Misc Income'!F20*'JDL PROCESSING FEES MASTER'!F$10,""),IF('JDL Misc Income'!F20&lt;&gt;"",'JDL Misc Income'!F20*'JDL PROCESSING FEES MASTER'!F$14,""))),"")</f>
        <v/>
      </c>
      <c r="I20" s="20" t="str">
        <f>IF(F20&lt;&gt;"",IF(IF(G20="Fresh",IF('JDL Misc Income'!F20&lt;&gt;"",'JDL Misc Income'!F20*'JDL PROCESSING FEES MASTER'!F$10,""),IF('JDL Misc Income'!F20&lt;&gt;"",'JDL Misc Income'!F20*'JDL PROCESSING FEES MASTER'!F$14,""))&gt;'JDL PROCESSING FEES MASTER'!G$8,'JDL PROCESSING FEES MASTER'!G$8,IF(G20="Fresh",IF('JDL Misc Income'!F20&lt;&gt;"",'JDL Misc Income'!F20*'JDL PROCESSING FEES MASTER'!F$10,""),IF('JDL Misc Income'!F20&lt;&gt;"",'JDL Misc Income'!F20*'JDL PROCESSING FEES MASTER'!F$14,""))),"")</f>
        <v/>
      </c>
      <c r="J20" s="20" t="str">
        <f t="shared" si="0"/>
        <v/>
      </c>
    </row>
    <row r="21" spans="1:10" ht="38.25" customHeight="1" x14ac:dyDescent="0.3">
      <c r="A21" s="1">
        <v>16</v>
      </c>
      <c r="B21" s="15" t="str">
        <f>IF('[1]Main Sheet'!C20="","",358)</f>
        <v/>
      </c>
      <c r="C21" s="16" t="str">
        <f>IF('[1]Main Sheet'!C20="","",'[1]Main Sheet'!C20)</f>
        <v/>
      </c>
      <c r="D21" s="17" t="str">
        <f>IF('[1]Main Sheet'!D20="","",'[1]Main Sheet'!D20)</f>
        <v/>
      </c>
      <c r="E21" s="15" t="str">
        <f>IF('[1]Main Sheet'!E20="","",'[1]Main Sheet'!E20)</f>
        <v/>
      </c>
      <c r="F21" s="15" t="str">
        <f>IF('[1]Main Sheet'!I20="","",'[1]Main Sheet'!I20)</f>
        <v/>
      </c>
      <c r="G21" s="15" t="str">
        <f>IF('[1]Main Sheet'!L20="","",'[1]Main Sheet'!L20)</f>
        <v>Fresh</v>
      </c>
      <c r="H21" s="20" t="str">
        <f>IF(F21&lt;&gt;"",IF(IF(G21="Fresh",IF('JDL Misc Income'!F21&lt;&gt;"",'JDL Misc Income'!F21*'JDL PROCESSING FEES MASTER'!F$10,""),IF('JDL Misc Income'!F21&lt;&gt;"",'JDL Misc Income'!F21*'JDL PROCESSING FEES MASTER'!F$14,""))&gt;'JDL PROCESSING FEES MASTER'!G$10,'JDL PROCESSING FEES MASTER'!G$10,IF(G21="Fresh",IF('JDL Misc Income'!F21&lt;&gt;"",'JDL Misc Income'!F21*'JDL PROCESSING FEES MASTER'!F$10,""),IF('JDL Misc Income'!F21&lt;&gt;"",'JDL Misc Income'!F21*'JDL PROCESSING FEES MASTER'!F$14,""))),"")</f>
        <v/>
      </c>
      <c r="I21" s="20" t="str">
        <f>IF(F21&lt;&gt;"",IF(IF(G21="Fresh",IF('JDL Misc Income'!F21&lt;&gt;"",'JDL Misc Income'!F21*'JDL PROCESSING FEES MASTER'!F$10,""),IF('JDL Misc Income'!F21&lt;&gt;"",'JDL Misc Income'!F21*'JDL PROCESSING FEES MASTER'!F$14,""))&gt;'JDL PROCESSING FEES MASTER'!G$8,'JDL PROCESSING FEES MASTER'!G$8,IF(G21="Fresh",IF('JDL Misc Income'!F21&lt;&gt;"",'JDL Misc Income'!F21*'JDL PROCESSING FEES MASTER'!F$10,""),IF('JDL Misc Income'!F21&lt;&gt;"",'JDL Misc Income'!F21*'JDL PROCESSING FEES MASTER'!F$14,""))),"")</f>
        <v/>
      </c>
      <c r="J21" s="20" t="str">
        <f t="shared" si="0"/>
        <v/>
      </c>
    </row>
    <row r="22" spans="1:10" ht="38.25" customHeight="1" x14ac:dyDescent="0.3">
      <c r="A22" s="1">
        <v>17</v>
      </c>
      <c r="B22" s="15" t="str">
        <f>IF('[1]Main Sheet'!C21="","",358)</f>
        <v/>
      </c>
      <c r="C22" s="16" t="str">
        <f>IF('[1]Main Sheet'!C21="","",'[1]Main Sheet'!C21)</f>
        <v/>
      </c>
      <c r="D22" s="17" t="str">
        <f>IF('[1]Main Sheet'!D21="","",'[1]Main Sheet'!D21)</f>
        <v/>
      </c>
      <c r="E22" s="15" t="str">
        <f>IF('[1]Main Sheet'!E21="","",'[1]Main Sheet'!E21)</f>
        <v/>
      </c>
      <c r="F22" s="15" t="str">
        <f>IF('[1]Main Sheet'!I21="","",'[1]Main Sheet'!I21)</f>
        <v/>
      </c>
      <c r="G22" s="15" t="str">
        <f>IF('[1]Main Sheet'!L21="","",'[1]Main Sheet'!L21)</f>
        <v>Fresh</v>
      </c>
      <c r="H22" s="20" t="str">
        <f>IF(F22&lt;&gt;"",IF(IF(G22="Fresh",IF('JDL Misc Income'!F22&lt;&gt;"",'JDL Misc Income'!F22*'JDL PROCESSING FEES MASTER'!F$10,""),IF('JDL Misc Income'!F22&lt;&gt;"",'JDL Misc Income'!F22*'JDL PROCESSING FEES MASTER'!F$14,""))&gt;'JDL PROCESSING FEES MASTER'!G$10,'JDL PROCESSING FEES MASTER'!G$10,IF(G22="Fresh",IF('JDL Misc Income'!F22&lt;&gt;"",'JDL Misc Income'!F22*'JDL PROCESSING FEES MASTER'!F$10,""),IF('JDL Misc Income'!F22&lt;&gt;"",'JDL Misc Income'!F22*'JDL PROCESSING FEES MASTER'!F$14,""))),"")</f>
        <v/>
      </c>
      <c r="I22" s="20" t="str">
        <f>IF(F22&lt;&gt;"",IF(IF(G22="Fresh",IF('JDL Misc Income'!F22&lt;&gt;"",'JDL Misc Income'!F22*'JDL PROCESSING FEES MASTER'!F$10,""),IF('JDL Misc Income'!F22&lt;&gt;"",'JDL Misc Income'!F22*'JDL PROCESSING FEES MASTER'!F$14,""))&gt;'JDL PROCESSING FEES MASTER'!G$8,'JDL PROCESSING FEES MASTER'!G$8,IF(G22="Fresh",IF('JDL Misc Income'!F22&lt;&gt;"",'JDL Misc Income'!F22*'JDL PROCESSING FEES MASTER'!F$10,""),IF('JDL Misc Income'!F22&lt;&gt;"",'JDL Misc Income'!F22*'JDL PROCESSING FEES MASTER'!F$14,""))),"")</f>
        <v/>
      </c>
      <c r="J22" s="20" t="str">
        <f t="shared" si="0"/>
        <v/>
      </c>
    </row>
    <row r="23" spans="1:10" ht="38.25" customHeight="1" x14ac:dyDescent="0.3">
      <c r="A23" s="1">
        <v>18</v>
      </c>
      <c r="B23" s="15" t="str">
        <f>IF('[1]Main Sheet'!C22="","",358)</f>
        <v/>
      </c>
      <c r="C23" s="16" t="str">
        <f>IF('[1]Main Sheet'!C22="","",'[1]Main Sheet'!C22)</f>
        <v/>
      </c>
      <c r="D23" s="17" t="str">
        <f>IF('[1]Main Sheet'!D22="","",'[1]Main Sheet'!D22)</f>
        <v/>
      </c>
      <c r="E23" s="15" t="str">
        <f>IF('[1]Main Sheet'!E22="","",'[1]Main Sheet'!E22)</f>
        <v/>
      </c>
      <c r="F23" s="15" t="str">
        <f>IF('[1]Main Sheet'!I22="","",'[1]Main Sheet'!I22)</f>
        <v/>
      </c>
      <c r="G23" s="15" t="str">
        <f>IF('[1]Main Sheet'!L22="","",'[1]Main Sheet'!L22)</f>
        <v>Fresh</v>
      </c>
      <c r="H23" s="20" t="str">
        <f>IF(F23&lt;&gt;"",IF(IF(G23="Fresh",IF('JDL Misc Income'!F23&lt;&gt;"",'JDL Misc Income'!F23*'JDL PROCESSING FEES MASTER'!F$10,""),IF('JDL Misc Income'!F23&lt;&gt;"",'JDL Misc Income'!F23*'JDL PROCESSING FEES MASTER'!F$14,""))&gt;'JDL PROCESSING FEES MASTER'!G$10,'JDL PROCESSING FEES MASTER'!G$10,IF(G23="Fresh",IF('JDL Misc Income'!F23&lt;&gt;"",'JDL Misc Income'!F23*'JDL PROCESSING FEES MASTER'!F$10,""),IF('JDL Misc Income'!F23&lt;&gt;"",'JDL Misc Income'!F23*'JDL PROCESSING FEES MASTER'!F$14,""))),"")</f>
        <v/>
      </c>
      <c r="I23" s="20" t="str">
        <f>IF(F23&lt;&gt;"",IF(IF(G23="Fresh",IF('JDL Misc Income'!F23&lt;&gt;"",'JDL Misc Income'!F23*'JDL PROCESSING FEES MASTER'!F$10,""),IF('JDL Misc Income'!F23&lt;&gt;"",'JDL Misc Income'!F23*'JDL PROCESSING FEES MASTER'!F$14,""))&gt;'JDL PROCESSING FEES MASTER'!G$8,'JDL PROCESSING FEES MASTER'!G$8,IF(G23="Fresh",IF('JDL Misc Income'!F23&lt;&gt;"",'JDL Misc Income'!F23*'JDL PROCESSING FEES MASTER'!F$10,""),IF('JDL Misc Income'!F23&lt;&gt;"",'JDL Misc Income'!F23*'JDL PROCESSING FEES MASTER'!F$14,""))),"")</f>
        <v/>
      </c>
      <c r="J23" s="20" t="str">
        <f t="shared" si="0"/>
        <v/>
      </c>
    </row>
    <row r="24" spans="1:10" ht="38.25" customHeight="1" x14ac:dyDescent="0.3">
      <c r="A24" s="1">
        <v>19</v>
      </c>
      <c r="B24" s="15" t="str">
        <f>IF('[1]Main Sheet'!C23="","",358)</f>
        <v/>
      </c>
      <c r="C24" s="16" t="str">
        <f>IF('[1]Main Sheet'!C23="","",'[1]Main Sheet'!C23)</f>
        <v/>
      </c>
      <c r="D24" s="17" t="str">
        <f>IF('[1]Main Sheet'!D23="","",'[1]Main Sheet'!D23)</f>
        <v/>
      </c>
      <c r="E24" s="15" t="str">
        <f>IF('[1]Main Sheet'!E23="","",'[1]Main Sheet'!E23)</f>
        <v/>
      </c>
      <c r="F24" s="15" t="str">
        <f>IF('[1]Main Sheet'!I23="","",'[1]Main Sheet'!I23)</f>
        <v/>
      </c>
      <c r="G24" s="15" t="str">
        <f>IF('[1]Main Sheet'!L23="","",'[1]Main Sheet'!L23)</f>
        <v>Fresh</v>
      </c>
      <c r="H24" s="20" t="str">
        <f>IF(F24&lt;&gt;"",IF(IF(G24="Fresh",IF('JDL Misc Income'!F24&lt;&gt;"",'JDL Misc Income'!F24*'JDL PROCESSING FEES MASTER'!F$10,""),IF('JDL Misc Income'!F24&lt;&gt;"",'JDL Misc Income'!F24*'JDL PROCESSING FEES MASTER'!F$14,""))&gt;'JDL PROCESSING FEES MASTER'!G$10,'JDL PROCESSING FEES MASTER'!G$10,IF(G24="Fresh",IF('JDL Misc Income'!F24&lt;&gt;"",'JDL Misc Income'!F24*'JDL PROCESSING FEES MASTER'!F$10,""),IF('JDL Misc Income'!F24&lt;&gt;"",'JDL Misc Income'!F24*'JDL PROCESSING FEES MASTER'!F$14,""))),"")</f>
        <v/>
      </c>
      <c r="I24" s="20" t="str">
        <f>IF(F24&lt;&gt;"",IF(IF(G24="Fresh",IF('JDL Misc Income'!F24&lt;&gt;"",'JDL Misc Income'!F24*'JDL PROCESSING FEES MASTER'!F$10,""),IF('JDL Misc Income'!F24&lt;&gt;"",'JDL Misc Income'!F24*'JDL PROCESSING FEES MASTER'!F$14,""))&gt;'JDL PROCESSING FEES MASTER'!G$8,'JDL PROCESSING FEES MASTER'!G$8,IF(G24="Fresh",IF('JDL Misc Income'!F24&lt;&gt;"",'JDL Misc Income'!F24*'JDL PROCESSING FEES MASTER'!F$10,""),IF('JDL Misc Income'!F24&lt;&gt;"",'JDL Misc Income'!F24*'JDL PROCESSING FEES MASTER'!F$14,""))),"")</f>
        <v/>
      </c>
      <c r="J24" s="20" t="str">
        <f t="shared" si="0"/>
        <v/>
      </c>
    </row>
    <row r="25" spans="1:10" ht="38.25" customHeight="1" x14ac:dyDescent="0.3">
      <c r="A25" s="1">
        <v>20</v>
      </c>
      <c r="B25" s="15" t="str">
        <f>IF('[1]Main Sheet'!C24="","",358)</f>
        <v/>
      </c>
      <c r="C25" s="16" t="str">
        <f>IF('[1]Main Sheet'!C24="","",'[1]Main Sheet'!C24)</f>
        <v/>
      </c>
      <c r="D25" s="17" t="str">
        <f>IF('[1]Main Sheet'!D24="","",'[1]Main Sheet'!D24)</f>
        <v/>
      </c>
      <c r="E25" s="15" t="str">
        <f>IF('[1]Main Sheet'!E24="","",'[1]Main Sheet'!E24)</f>
        <v/>
      </c>
      <c r="F25" s="15" t="str">
        <f>IF('[1]Main Sheet'!I24="","",'[1]Main Sheet'!I24)</f>
        <v/>
      </c>
      <c r="G25" s="15" t="str">
        <f>IF('[1]Main Sheet'!L24="","",'[1]Main Sheet'!L24)</f>
        <v>Fresh</v>
      </c>
      <c r="H25" s="20" t="str">
        <f>IF(F25&lt;&gt;"",IF(IF(G25="Fresh",IF('JDL Misc Income'!F25&lt;&gt;"",'JDL Misc Income'!F25*'JDL PROCESSING FEES MASTER'!F$10,""),IF('JDL Misc Income'!F25&lt;&gt;"",'JDL Misc Income'!F25*'JDL PROCESSING FEES MASTER'!F$14,""))&gt;'JDL PROCESSING FEES MASTER'!G$10,'JDL PROCESSING FEES MASTER'!G$10,IF(G25="Fresh",IF('JDL Misc Income'!F25&lt;&gt;"",'JDL Misc Income'!F25*'JDL PROCESSING FEES MASTER'!F$10,""),IF('JDL Misc Income'!F25&lt;&gt;"",'JDL Misc Income'!F25*'JDL PROCESSING FEES MASTER'!F$14,""))),"")</f>
        <v/>
      </c>
      <c r="I25" s="20" t="str">
        <f>IF(F25&lt;&gt;"",IF(IF(G25="Fresh",IF('JDL Misc Income'!F25&lt;&gt;"",'JDL Misc Income'!F25*'JDL PROCESSING FEES MASTER'!F$10,""),IF('JDL Misc Income'!F25&lt;&gt;"",'JDL Misc Income'!F25*'JDL PROCESSING FEES MASTER'!F$14,""))&gt;'JDL PROCESSING FEES MASTER'!G$8,'JDL PROCESSING FEES MASTER'!G$8,IF(G25="Fresh",IF('JDL Misc Income'!F25&lt;&gt;"",'JDL Misc Income'!F25*'JDL PROCESSING FEES MASTER'!F$10,""),IF('JDL Misc Income'!F25&lt;&gt;"",'JDL Misc Income'!F25*'JDL PROCESSING FEES MASTER'!F$14,""))),"")</f>
        <v/>
      </c>
      <c r="J25" s="20" t="str">
        <f t="shared" si="0"/>
        <v/>
      </c>
    </row>
    <row r="26" spans="1:10" ht="38.25" customHeight="1" x14ac:dyDescent="0.3">
      <c r="A26" s="1">
        <v>21</v>
      </c>
      <c r="B26" s="15" t="str">
        <f>IF('[1]Main Sheet'!C25="","",358)</f>
        <v/>
      </c>
      <c r="C26" s="16" t="str">
        <f>IF('[1]Main Sheet'!C25="","",'[1]Main Sheet'!C25)</f>
        <v/>
      </c>
      <c r="D26" s="17" t="str">
        <f>IF('[1]Main Sheet'!D25="","",'[1]Main Sheet'!D25)</f>
        <v/>
      </c>
      <c r="E26" s="15" t="str">
        <f>IF('[1]Main Sheet'!E25="","",'[1]Main Sheet'!E25)</f>
        <v/>
      </c>
      <c r="F26" s="15" t="str">
        <f>IF('[1]Main Sheet'!I25="","",'[1]Main Sheet'!I25)</f>
        <v/>
      </c>
      <c r="G26" s="15" t="str">
        <f>IF('[1]Main Sheet'!L25="","",'[1]Main Sheet'!L25)</f>
        <v>Renewal</v>
      </c>
      <c r="H26" s="20" t="str">
        <f>IF(F26&lt;&gt;"",IF(IF(G26="Fresh",IF('JDL Misc Income'!F26&lt;&gt;"",'JDL Misc Income'!F26*'JDL PROCESSING FEES MASTER'!F$10,""),IF('JDL Misc Income'!F26&lt;&gt;"",'JDL Misc Income'!F26*'JDL PROCESSING FEES MASTER'!F$14,""))&gt;'JDL PROCESSING FEES MASTER'!G$10,'JDL PROCESSING FEES MASTER'!G$10,IF(G26="Fresh",IF('JDL Misc Income'!F26&lt;&gt;"",'JDL Misc Income'!F26*'JDL PROCESSING FEES MASTER'!F$10,""),IF('JDL Misc Income'!F26&lt;&gt;"",'JDL Misc Income'!F26*'JDL PROCESSING FEES MASTER'!F$14,""))),"")</f>
        <v/>
      </c>
      <c r="I26" s="20" t="str">
        <f>IF(F26&lt;&gt;"",IF(IF(G26="Fresh",IF('JDL Misc Income'!F26&lt;&gt;"",'JDL Misc Income'!F26*'JDL PROCESSING FEES MASTER'!F$10,""),IF('JDL Misc Income'!F26&lt;&gt;"",'JDL Misc Income'!F26*'JDL PROCESSING FEES MASTER'!F$14,""))&gt;'JDL PROCESSING FEES MASTER'!G$8,'JDL PROCESSING FEES MASTER'!G$8,IF(G26="Fresh",IF('JDL Misc Income'!F26&lt;&gt;"",'JDL Misc Income'!F26*'JDL PROCESSING FEES MASTER'!F$10,""),IF('JDL Misc Income'!F26&lt;&gt;"",'JDL Misc Income'!F26*'JDL PROCESSING FEES MASTER'!F$14,""))),"")</f>
        <v/>
      </c>
      <c r="J26" s="20" t="str">
        <f t="shared" si="0"/>
        <v/>
      </c>
    </row>
    <row r="27" spans="1:10" ht="38.25" customHeight="1" x14ac:dyDescent="0.3">
      <c r="A27" s="1">
        <v>22</v>
      </c>
      <c r="B27" s="15" t="str">
        <f>IF('[1]Main Sheet'!C26="","",358)</f>
        <v/>
      </c>
      <c r="C27" s="16" t="str">
        <f>IF('[1]Main Sheet'!C26="","",'[1]Main Sheet'!C26)</f>
        <v/>
      </c>
      <c r="D27" s="17" t="str">
        <f>IF('[1]Main Sheet'!D26="","",'[1]Main Sheet'!D26)</f>
        <v/>
      </c>
      <c r="E27" s="15" t="str">
        <f>IF('[1]Main Sheet'!E26="","",'[1]Main Sheet'!E26)</f>
        <v/>
      </c>
      <c r="F27" s="15" t="str">
        <f>IF('[1]Main Sheet'!I26="","",'[1]Main Sheet'!I26)</f>
        <v/>
      </c>
      <c r="G27" s="15" t="str">
        <f>IF('[1]Main Sheet'!L26="","",'[1]Main Sheet'!L26)</f>
        <v>Fresh</v>
      </c>
      <c r="H27" s="20" t="str">
        <f>IF(F27&lt;&gt;"",IF(IF(G27="Fresh",IF('JDL Misc Income'!F27&lt;&gt;"",'JDL Misc Income'!F27*'JDL PROCESSING FEES MASTER'!F$10,""),IF('JDL Misc Income'!F27&lt;&gt;"",'JDL Misc Income'!F27*'JDL PROCESSING FEES MASTER'!F$14,""))&gt;'JDL PROCESSING FEES MASTER'!G$10,'JDL PROCESSING FEES MASTER'!G$10,IF(G27="Fresh",IF('JDL Misc Income'!F27&lt;&gt;"",'JDL Misc Income'!F27*'JDL PROCESSING FEES MASTER'!F$10,""),IF('JDL Misc Income'!F27&lt;&gt;"",'JDL Misc Income'!F27*'JDL PROCESSING FEES MASTER'!F$14,""))),"")</f>
        <v/>
      </c>
      <c r="I27" s="20" t="str">
        <f>IF(F27&lt;&gt;"",IF(IF(G27="Fresh",IF('JDL Misc Income'!F27&lt;&gt;"",'JDL Misc Income'!F27*'JDL PROCESSING FEES MASTER'!F$10,""),IF('JDL Misc Income'!F27&lt;&gt;"",'JDL Misc Income'!F27*'JDL PROCESSING FEES MASTER'!F$14,""))&gt;'JDL PROCESSING FEES MASTER'!G$8,'JDL PROCESSING FEES MASTER'!G$8,IF(G27="Fresh",IF('JDL Misc Income'!F27&lt;&gt;"",'JDL Misc Income'!F27*'JDL PROCESSING FEES MASTER'!F$10,""),IF('JDL Misc Income'!F27&lt;&gt;"",'JDL Misc Income'!F27*'JDL PROCESSING FEES MASTER'!F$14,""))),"")</f>
        <v/>
      </c>
      <c r="J27" s="20" t="str">
        <f t="shared" si="0"/>
        <v/>
      </c>
    </row>
    <row r="28" spans="1:10" ht="38.25" customHeight="1" x14ac:dyDescent="0.3">
      <c r="A28" s="1">
        <v>23</v>
      </c>
      <c r="B28" s="15" t="str">
        <f>IF('[1]Main Sheet'!C27="","",358)</f>
        <v/>
      </c>
      <c r="C28" s="16" t="str">
        <f>IF('[1]Main Sheet'!C27="","",'[1]Main Sheet'!C27)</f>
        <v/>
      </c>
      <c r="D28" s="17" t="str">
        <f>IF('[1]Main Sheet'!D27="","",'[1]Main Sheet'!D27)</f>
        <v/>
      </c>
      <c r="E28" s="15" t="str">
        <f>IF('[1]Main Sheet'!E27="","",'[1]Main Sheet'!E27)</f>
        <v/>
      </c>
      <c r="F28" s="15" t="str">
        <f>IF('[1]Main Sheet'!I27="","",'[1]Main Sheet'!I27)</f>
        <v/>
      </c>
      <c r="G28" s="15" t="str">
        <f>IF('[1]Main Sheet'!L27="","",'[1]Main Sheet'!L27)</f>
        <v>Renewal</v>
      </c>
      <c r="H28" s="20" t="str">
        <f>IF(F28&lt;&gt;"",IF(IF(G28="Fresh",IF('JDL Misc Income'!F28&lt;&gt;"",'JDL Misc Income'!F28*'JDL PROCESSING FEES MASTER'!F$10,""),IF('JDL Misc Income'!F28&lt;&gt;"",'JDL Misc Income'!F28*'JDL PROCESSING FEES MASTER'!F$14,""))&gt;'JDL PROCESSING FEES MASTER'!G$10,'JDL PROCESSING FEES MASTER'!G$10,IF(G28="Fresh",IF('JDL Misc Income'!F28&lt;&gt;"",'JDL Misc Income'!F28*'JDL PROCESSING FEES MASTER'!F$10,""),IF('JDL Misc Income'!F28&lt;&gt;"",'JDL Misc Income'!F28*'JDL PROCESSING FEES MASTER'!F$14,""))),"")</f>
        <v/>
      </c>
      <c r="I28" s="20" t="str">
        <f>IF(F28&lt;&gt;"",IF(IF(G28="Fresh",IF('JDL Misc Income'!F28&lt;&gt;"",'JDL Misc Income'!F28*'JDL PROCESSING FEES MASTER'!F$10,""),IF('JDL Misc Income'!F28&lt;&gt;"",'JDL Misc Income'!F28*'JDL PROCESSING FEES MASTER'!F$14,""))&gt;'JDL PROCESSING FEES MASTER'!G$8,'JDL PROCESSING FEES MASTER'!G$8,IF(G28="Fresh",IF('JDL Misc Income'!F28&lt;&gt;"",'JDL Misc Income'!F28*'JDL PROCESSING FEES MASTER'!F$10,""),IF('JDL Misc Income'!F28&lt;&gt;"",'JDL Misc Income'!F28*'JDL PROCESSING FEES MASTER'!F$14,""))),"")</f>
        <v/>
      </c>
      <c r="J28" s="20" t="str">
        <f t="shared" si="0"/>
        <v/>
      </c>
    </row>
    <row r="29" spans="1:10" ht="38.25" customHeight="1" x14ac:dyDescent="0.3">
      <c r="A29" s="1">
        <v>24</v>
      </c>
      <c r="B29" s="15" t="str">
        <f>IF('[1]Main Sheet'!C28="","",358)</f>
        <v/>
      </c>
      <c r="C29" s="16" t="str">
        <f>IF('[1]Main Sheet'!C28="","",'[1]Main Sheet'!C28)</f>
        <v/>
      </c>
      <c r="D29" s="17" t="str">
        <f>IF('[1]Main Sheet'!D28="","",'[1]Main Sheet'!D28)</f>
        <v/>
      </c>
      <c r="E29" s="15" t="str">
        <f>IF('[1]Main Sheet'!E28="","",'[1]Main Sheet'!E28)</f>
        <v/>
      </c>
      <c r="F29" s="15" t="str">
        <f>IF('[1]Main Sheet'!I28="","",'[1]Main Sheet'!I28)</f>
        <v/>
      </c>
      <c r="G29" s="15" t="str">
        <f>IF('[1]Main Sheet'!L28="","",'[1]Main Sheet'!L28)</f>
        <v>Fresh</v>
      </c>
      <c r="H29" s="20" t="str">
        <f>IF(F29&lt;&gt;"",IF(IF(G29="Fresh",IF('JDL Misc Income'!F29&lt;&gt;"",'JDL Misc Income'!F29*'JDL PROCESSING FEES MASTER'!F$10,""),IF('JDL Misc Income'!F29&lt;&gt;"",'JDL Misc Income'!F29*'JDL PROCESSING FEES MASTER'!F$14,""))&gt;'JDL PROCESSING FEES MASTER'!G$10,'JDL PROCESSING FEES MASTER'!G$10,IF(G29="Fresh",IF('JDL Misc Income'!F29&lt;&gt;"",'JDL Misc Income'!F29*'JDL PROCESSING FEES MASTER'!F$10,""),IF('JDL Misc Income'!F29&lt;&gt;"",'JDL Misc Income'!F29*'JDL PROCESSING FEES MASTER'!F$14,""))),"")</f>
        <v/>
      </c>
      <c r="I29" s="20" t="str">
        <f>IF(F29&lt;&gt;"",IF(IF(G29="Fresh",IF('JDL Misc Income'!F29&lt;&gt;"",'JDL Misc Income'!F29*'JDL PROCESSING FEES MASTER'!F$10,""),IF('JDL Misc Income'!F29&lt;&gt;"",'JDL Misc Income'!F29*'JDL PROCESSING FEES MASTER'!F$14,""))&gt;'JDL PROCESSING FEES MASTER'!G$8,'JDL PROCESSING FEES MASTER'!G$8,IF(G29="Fresh",IF('JDL Misc Income'!F29&lt;&gt;"",'JDL Misc Income'!F29*'JDL PROCESSING FEES MASTER'!F$10,""),IF('JDL Misc Income'!F29&lt;&gt;"",'JDL Misc Income'!F29*'JDL PROCESSING FEES MASTER'!F$14,""))),"")</f>
        <v/>
      </c>
      <c r="J29" s="20" t="str">
        <f t="shared" si="0"/>
        <v/>
      </c>
    </row>
    <row r="30" spans="1:10" ht="38.25" customHeight="1" x14ac:dyDescent="0.3">
      <c r="A30" s="1">
        <v>25</v>
      </c>
      <c r="B30" s="15" t="str">
        <f>IF('[1]Main Sheet'!C29="","",358)</f>
        <v/>
      </c>
      <c r="C30" s="16" t="str">
        <f>IF('[1]Main Sheet'!C29="","",'[1]Main Sheet'!C29)</f>
        <v/>
      </c>
      <c r="D30" s="17" t="str">
        <f>IF('[1]Main Sheet'!D29="","",'[1]Main Sheet'!D29)</f>
        <v/>
      </c>
      <c r="E30" s="15" t="str">
        <f>IF('[1]Main Sheet'!E29="","",'[1]Main Sheet'!E29)</f>
        <v/>
      </c>
      <c r="F30" s="15" t="str">
        <f>IF('[1]Main Sheet'!I29="","",'[1]Main Sheet'!I29)</f>
        <v/>
      </c>
      <c r="G30" s="15" t="str">
        <f>IF('[1]Main Sheet'!L29="","",'[1]Main Sheet'!L29)</f>
        <v>Fresh</v>
      </c>
      <c r="H30" s="20" t="str">
        <f>IF(F30&lt;&gt;"",IF(IF(G30="Fresh",IF('JDL Misc Income'!F30&lt;&gt;"",'JDL Misc Income'!F30*'JDL PROCESSING FEES MASTER'!F$10,""),IF('JDL Misc Income'!F30&lt;&gt;"",'JDL Misc Income'!F30*'JDL PROCESSING FEES MASTER'!F$14,""))&gt;'JDL PROCESSING FEES MASTER'!G$10,'JDL PROCESSING FEES MASTER'!G$10,IF(G30="Fresh",IF('JDL Misc Income'!F30&lt;&gt;"",'JDL Misc Income'!F30*'JDL PROCESSING FEES MASTER'!F$10,""),IF('JDL Misc Income'!F30&lt;&gt;"",'JDL Misc Income'!F30*'JDL PROCESSING FEES MASTER'!F$14,""))),"")</f>
        <v/>
      </c>
      <c r="I30" s="20" t="str">
        <f>IF(F30&lt;&gt;"",IF(IF(G30="Fresh",IF('JDL Misc Income'!F30&lt;&gt;"",'JDL Misc Income'!F30*'JDL PROCESSING FEES MASTER'!F$10,""),IF('JDL Misc Income'!F30&lt;&gt;"",'JDL Misc Income'!F30*'JDL PROCESSING FEES MASTER'!F$14,""))&gt;'JDL PROCESSING FEES MASTER'!G$8,'JDL PROCESSING FEES MASTER'!G$8,IF(G30="Fresh",IF('JDL Misc Income'!F30&lt;&gt;"",'JDL Misc Income'!F30*'JDL PROCESSING FEES MASTER'!F$10,""),IF('JDL Misc Income'!F30&lt;&gt;"",'JDL Misc Income'!F30*'JDL PROCESSING FEES MASTER'!F$14,""))),"")</f>
        <v/>
      </c>
      <c r="J30" s="20" t="str">
        <f t="shared" si="0"/>
        <v/>
      </c>
    </row>
    <row r="31" spans="1:10" ht="38.25" customHeight="1" x14ac:dyDescent="0.3">
      <c r="A31" s="1">
        <v>26</v>
      </c>
      <c r="B31" s="15" t="str">
        <f>IF('[1]Main Sheet'!C30="","",358)</f>
        <v/>
      </c>
      <c r="C31" s="16" t="str">
        <f>IF('[1]Main Sheet'!C30="","",'[1]Main Sheet'!C30)</f>
        <v/>
      </c>
      <c r="D31" s="17" t="str">
        <f>IF('[1]Main Sheet'!D30="","",'[1]Main Sheet'!D30)</f>
        <v/>
      </c>
      <c r="E31" s="15" t="str">
        <f>IF('[1]Main Sheet'!E30="","",'[1]Main Sheet'!E30)</f>
        <v/>
      </c>
      <c r="F31" s="15" t="str">
        <f>IF('[1]Main Sheet'!I30="","",'[1]Main Sheet'!I30)</f>
        <v/>
      </c>
      <c r="G31" s="15" t="str">
        <f>IF('[1]Main Sheet'!L30="","",'[1]Main Sheet'!L30)</f>
        <v>Renewal</v>
      </c>
      <c r="H31" s="20" t="str">
        <f>IF(F31&lt;&gt;"",IF(IF(G31="Fresh",IF('JDL Misc Income'!F31&lt;&gt;"",'JDL Misc Income'!F31*'JDL PROCESSING FEES MASTER'!F$10,""),IF('JDL Misc Income'!F31&lt;&gt;"",'JDL Misc Income'!F31*'JDL PROCESSING FEES MASTER'!F$14,""))&gt;'JDL PROCESSING FEES MASTER'!G$10,'JDL PROCESSING FEES MASTER'!G$10,IF(G31="Fresh",IF('JDL Misc Income'!F31&lt;&gt;"",'JDL Misc Income'!F31*'JDL PROCESSING FEES MASTER'!F$10,""),IF('JDL Misc Income'!F31&lt;&gt;"",'JDL Misc Income'!F31*'JDL PROCESSING FEES MASTER'!F$14,""))),"")</f>
        <v/>
      </c>
      <c r="I31" s="20" t="str">
        <f>IF(F31&lt;&gt;"",IF(IF(G31="Fresh",IF('JDL Misc Income'!F31&lt;&gt;"",'JDL Misc Income'!F31*'JDL PROCESSING FEES MASTER'!F$10,""),IF('JDL Misc Income'!F31&lt;&gt;"",'JDL Misc Income'!F31*'JDL PROCESSING FEES MASTER'!F$14,""))&gt;'JDL PROCESSING FEES MASTER'!G$8,'JDL PROCESSING FEES MASTER'!G$8,IF(G31="Fresh",IF('JDL Misc Income'!F31&lt;&gt;"",'JDL Misc Income'!F31*'JDL PROCESSING FEES MASTER'!F$10,""),IF('JDL Misc Income'!F31&lt;&gt;"",'JDL Misc Income'!F31*'JDL PROCESSING FEES MASTER'!F$14,""))),"")</f>
        <v/>
      </c>
      <c r="J31" s="20" t="str">
        <f t="shared" si="0"/>
        <v/>
      </c>
    </row>
    <row r="32" spans="1:10" ht="38.25" customHeight="1" x14ac:dyDescent="0.3">
      <c r="A32" s="1">
        <v>27</v>
      </c>
      <c r="B32" s="15" t="str">
        <f>IF('[1]Main Sheet'!C31="","",358)</f>
        <v/>
      </c>
      <c r="C32" s="16" t="str">
        <f>IF('[1]Main Sheet'!C31="","",'[1]Main Sheet'!C31)</f>
        <v/>
      </c>
      <c r="D32" s="17" t="str">
        <f>IF('[1]Main Sheet'!D31="","",'[1]Main Sheet'!D31)</f>
        <v/>
      </c>
      <c r="E32" s="15" t="str">
        <f>IF('[1]Main Sheet'!E31="","",'[1]Main Sheet'!E31)</f>
        <v/>
      </c>
      <c r="F32" s="15" t="str">
        <f>IF('[1]Main Sheet'!I31="","",'[1]Main Sheet'!I31)</f>
        <v/>
      </c>
      <c r="G32" s="15" t="str">
        <f>IF('[1]Main Sheet'!L31="","",'[1]Main Sheet'!L31)</f>
        <v>Fresh</v>
      </c>
      <c r="H32" s="20" t="str">
        <f>IF(F32&lt;&gt;"",IF(IF(G32="Fresh",IF('JDL Misc Income'!F32&lt;&gt;"",'JDL Misc Income'!F32*'JDL PROCESSING FEES MASTER'!F$10,""),IF('JDL Misc Income'!F32&lt;&gt;"",'JDL Misc Income'!F32*'JDL PROCESSING FEES MASTER'!F$14,""))&gt;'JDL PROCESSING FEES MASTER'!G$10,'JDL PROCESSING FEES MASTER'!G$10,IF(G32="Fresh",IF('JDL Misc Income'!F32&lt;&gt;"",'JDL Misc Income'!F32*'JDL PROCESSING FEES MASTER'!F$10,""),IF('JDL Misc Income'!F32&lt;&gt;"",'JDL Misc Income'!F32*'JDL PROCESSING FEES MASTER'!F$14,""))),"")</f>
        <v/>
      </c>
      <c r="I32" s="20" t="str">
        <f>IF(F32&lt;&gt;"",IF(IF(G32="Fresh",IF('JDL Misc Income'!F32&lt;&gt;"",'JDL Misc Income'!F32*'JDL PROCESSING FEES MASTER'!F$10,""),IF('JDL Misc Income'!F32&lt;&gt;"",'JDL Misc Income'!F32*'JDL PROCESSING FEES MASTER'!F$14,""))&gt;'JDL PROCESSING FEES MASTER'!G$8,'JDL PROCESSING FEES MASTER'!G$8,IF(G32="Fresh",IF('JDL Misc Income'!F32&lt;&gt;"",'JDL Misc Income'!F32*'JDL PROCESSING FEES MASTER'!F$10,""),IF('JDL Misc Income'!F32&lt;&gt;"",'JDL Misc Income'!F32*'JDL PROCESSING FEES MASTER'!F$14,""))),"")</f>
        <v/>
      </c>
      <c r="J32" s="20" t="str">
        <f t="shared" si="0"/>
        <v/>
      </c>
    </row>
    <row r="33" spans="1:10" ht="38.25" customHeight="1" x14ac:dyDescent="0.3">
      <c r="A33" s="1">
        <v>28</v>
      </c>
      <c r="B33" s="15" t="str">
        <f>IF('[1]Main Sheet'!C32="","",358)</f>
        <v/>
      </c>
      <c r="C33" s="16" t="str">
        <f>IF('[1]Main Sheet'!C32="","",'[1]Main Sheet'!C32)</f>
        <v/>
      </c>
      <c r="D33" s="17" t="str">
        <f>IF('[1]Main Sheet'!D32="","",'[1]Main Sheet'!D32)</f>
        <v/>
      </c>
      <c r="E33" s="15" t="str">
        <f>IF('[1]Main Sheet'!E32="","",'[1]Main Sheet'!E32)</f>
        <v/>
      </c>
      <c r="F33" s="15" t="str">
        <f>IF('[1]Main Sheet'!I32="","",'[1]Main Sheet'!I32)</f>
        <v/>
      </c>
      <c r="G33" s="15" t="str">
        <f>IF('[1]Main Sheet'!L32="","",'[1]Main Sheet'!L32)</f>
        <v>Fresh</v>
      </c>
      <c r="H33" s="20" t="str">
        <f>IF(F33&lt;&gt;"",IF(IF(G33="Fresh",IF('JDL Misc Income'!F33&lt;&gt;"",'JDL Misc Income'!F33*'JDL PROCESSING FEES MASTER'!F$10,""),IF('JDL Misc Income'!F33&lt;&gt;"",'JDL Misc Income'!F33*'JDL PROCESSING FEES MASTER'!F$14,""))&gt;'JDL PROCESSING FEES MASTER'!G$10,'JDL PROCESSING FEES MASTER'!G$10,IF(G33="Fresh",IF('JDL Misc Income'!F33&lt;&gt;"",'JDL Misc Income'!F33*'JDL PROCESSING FEES MASTER'!F$10,""),IF('JDL Misc Income'!F33&lt;&gt;"",'JDL Misc Income'!F33*'JDL PROCESSING FEES MASTER'!F$14,""))),"")</f>
        <v/>
      </c>
      <c r="I33" s="20" t="str">
        <f>IF(F33&lt;&gt;"",IF(IF(G33="Fresh",IF('JDL Misc Income'!F33&lt;&gt;"",'JDL Misc Income'!F33*'JDL PROCESSING FEES MASTER'!F$10,""),IF('JDL Misc Income'!F33&lt;&gt;"",'JDL Misc Income'!F33*'JDL PROCESSING FEES MASTER'!F$14,""))&gt;'JDL PROCESSING FEES MASTER'!G$8,'JDL PROCESSING FEES MASTER'!G$8,IF(G33="Fresh",IF('JDL Misc Income'!F33&lt;&gt;"",'JDL Misc Income'!F33*'JDL PROCESSING FEES MASTER'!F$10,""),IF('JDL Misc Income'!F33&lt;&gt;"",'JDL Misc Income'!F33*'JDL PROCESSING FEES MASTER'!F$14,""))),"")</f>
        <v/>
      </c>
      <c r="J33" s="20" t="str">
        <f t="shared" si="0"/>
        <v/>
      </c>
    </row>
    <row r="34" spans="1:10" ht="38.25" customHeight="1" x14ac:dyDescent="0.3">
      <c r="A34" s="1">
        <v>29</v>
      </c>
      <c r="B34" s="15" t="str">
        <f>IF('[1]Main Sheet'!C33="","",358)</f>
        <v/>
      </c>
      <c r="C34" s="16" t="str">
        <f>IF('[1]Main Sheet'!C33="","",'[1]Main Sheet'!C33)</f>
        <v/>
      </c>
      <c r="D34" s="17" t="str">
        <f>IF('[1]Main Sheet'!D33="","",'[1]Main Sheet'!D33)</f>
        <v/>
      </c>
      <c r="E34" s="15" t="str">
        <f>IF('[1]Main Sheet'!E33="","",'[1]Main Sheet'!E33)</f>
        <v/>
      </c>
      <c r="F34" s="15" t="str">
        <f>IF('[1]Main Sheet'!I33="","",'[1]Main Sheet'!I33)</f>
        <v/>
      </c>
      <c r="G34" s="15" t="str">
        <f>IF('[1]Main Sheet'!L33="","",'[1]Main Sheet'!L33)</f>
        <v>Fresh</v>
      </c>
      <c r="H34" s="20" t="str">
        <f>IF(F34&lt;&gt;"",IF(IF(G34="Fresh",IF('JDL Misc Income'!F34&lt;&gt;"",'JDL Misc Income'!F34*'JDL PROCESSING FEES MASTER'!F$10,""),IF('JDL Misc Income'!F34&lt;&gt;"",'JDL Misc Income'!F34*'JDL PROCESSING FEES MASTER'!F$14,""))&gt;'JDL PROCESSING FEES MASTER'!G$10,'JDL PROCESSING FEES MASTER'!G$10,IF(G34="Fresh",IF('JDL Misc Income'!F34&lt;&gt;"",'JDL Misc Income'!F34*'JDL PROCESSING FEES MASTER'!F$10,""),IF('JDL Misc Income'!F34&lt;&gt;"",'JDL Misc Income'!F34*'JDL PROCESSING FEES MASTER'!F$14,""))),"")</f>
        <v/>
      </c>
      <c r="I34" s="20" t="str">
        <f>IF(F34&lt;&gt;"",IF(IF(G34="Fresh",IF('JDL Misc Income'!F34&lt;&gt;"",'JDL Misc Income'!F34*'JDL PROCESSING FEES MASTER'!F$10,""),IF('JDL Misc Income'!F34&lt;&gt;"",'JDL Misc Income'!F34*'JDL PROCESSING FEES MASTER'!F$14,""))&gt;'JDL PROCESSING FEES MASTER'!G$8,'JDL PROCESSING FEES MASTER'!G$8,IF(G34="Fresh",IF('JDL Misc Income'!F34&lt;&gt;"",'JDL Misc Income'!F34*'JDL PROCESSING FEES MASTER'!F$10,""),IF('JDL Misc Income'!F34&lt;&gt;"",'JDL Misc Income'!F34*'JDL PROCESSING FEES MASTER'!F$14,""))),"")</f>
        <v/>
      </c>
      <c r="J34" s="20" t="str">
        <f t="shared" si="0"/>
        <v/>
      </c>
    </row>
    <row r="35" spans="1:10" ht="38.25" customHeight="1" x14ac:dyDescent="0.3">
      <c r="A35" s="1">
        <v>30</v>
      </c>
      <c r="B35" s="15" t="str">
        <f>IF('[1]Main Sheet'!C34="","",358)</f>
        <v/>
      </c>
      <c r="C35" s="16" t="str">
        <f>IF('[1]Main Sheet'!C34="","",'[1]Main Sheet'!C34)</f>
        <v/>
      </c>
      <c r="D35" s="17" t="str">
        <f>IF('[1]Main Sheet'!D34="","",'[1]Main Sheet'!D34)</f>
        <v/>
      </c>
      <c r="E35" s="15" t="str">
        <f>IF('[1]Main Sheet'!E34="","",'[1]Main Sheet'!E34)</f>
        <v/>
      </c>
      <c r="F35" s="15" t="str">
        <f>IF('[1]Main Sheet'!I34="","",'[1]Main Sheet'!I34)</f>
        <v/>
      </c>
      <c r="G35" s="15" t="str">
        <f>IF('[1]Main Sheet'!L34="","",'[1]Main Sheet'!L34)</f>
        <v>Fresh</v>
      </c>
      <c r="H35" s="20" t="str">
        <f>IF(F35&lt;&gt;"",IF(IF(G35="Fresh",IF('JDL Misc Income'!F35&lt;&gt;"",'JDL Misc Income'!F35*'JDL PROCESSING FEES MASTER'!F$10,""),IF('JDL Misc Income'!F35&lt;&gt;"",'JDL Misc Income'!F35*'JDL PROCESSING FEES MASTER'!F$14,""))&gt;'JDL PROCESSING FEES MASTER'!G$10,'JDL PROCESSING FEES MASTER'!G$10,IF(G35="Fresh",IF('JDL Misc Income'!F35&lt;&gt;"",'JDL Misc Income'!F35*'JDL PROCESSING FEES MASTER'!F$10,""),IF('JDL Misc Income'!F35&lt;&gt;"",'JDL Misc Income'!F35*'JDL PROCESSING FEES MASTER'!F$14,""))),"")</f>
        <v/>
      </c>
      <c r="I35" s="20" t="str">
        <f>IF(F35&lt;&gt;"",IF(IF(G35="Fresh",IF('JDL Misc Income'!F35&lt;&gt;"",'JDL Misc Income'!F35*'JDL PROCESSING FEES MASTER'!F$10,""),IF('JDL Misc Income'!F35&lt;&gt;"",'JDL Misc Income'!F35*'JDL PROCESSING FEES MASTER'!F$14,""))&gt;'JDL PROCESSING FEES MASTER'!G$8,'JDL PROCESSING FEES MASTER'!G$8,IF(G35="Fresh",IF('JDL Misc Income'!F35&lt;&gt;"",'JDL Misc Income'!F35*'JDL PROCESSING FEES MASTER'!F$10,""),IF('JDL Misc Income'!F35&lt;&gt;"",'JDL Misc Income'!F35*'JDL PROCESSING FEES MASTER'!F$14,""))),"")</f>
        <v/>
      </c>
      <c r="J35" s="20" t="str">
        <f t="shared" si="0"/>
        <v/>
      </c>
    </row>
    <row r="36" spans="1:10" ht="38.25" customHeight="1" x14ac:dyDescent="0.3">
      <c r="A36" s="1">
        <v>31</v>
      </c>
      <c r="B36" s="15" t="str">
        <f>IF('[1]Main Sheet'!C35="","",358)</f>
        <v/>
      </c>
      <c r="C36" s="16" t="str">
        <f>IF('[1]Main Sheet'!C35="","",'[1]Main Sheet'!C35)</f>
        <v/>
      </c>
      <c r="D36" s="17" t="str">
        <f>IF('[1]Main Sheet'!D35="","",'[1]Main Sheet'!D35)</f>
        <v/>
      </c>
      <c r="E36" s="15" t="str">
        <f>IF('[1]Main Sheet'!E35="","",'[1]Main Sheet'!E35)</f>
        <v/>
      </c>
      <c r="F36" s="15" t="str">
        <f>IF('[1]Main Sheet'!I35="","",'[1]Main Sheet'!I35)</f>
        <v/>
      </c>
      <c r="G36" s="15" t="str">
        <f>IF('[1]Main Sheet'!L35="","",'[1]Main Sheet'!L35)</f>
        <v>Fresh</v>
      </c>
      <c r="H36" s="20" t="str">
        <f>IF(F36&lt;&gt;"",IF(IF(G36="Fresh",IF('JDL Misc Income'!F36&lt;&gt;"",'JDL Misc Income'!F36*'JDL PROCESSING FEES MASTER'!F$10,""),IF('JDL Misc Income'!F36&lt;&gt;"",'JDL Misc Income'!F36*'JDL PROCESSING FEES MASTER'!F$14,""))&gt;'JDL PROCESSING FEES MASTER'!G$10,'JDL PROCESSING FEES MASTER'!G$10,IF(G36="Fresh",IF('JDL Misc Income'!F36&lt;&gt;"",'JDL Misc Income'!F36*'JDL PROCESSING FEES MASTER'!F$10,""),IF('JDL Misc Income'!F36&lt;&gt;"",'JDL Misc Income'!F36*'JDL PROCESSING FEES MASTER'!F$14,""))),"")</f>
        <v/>
      </c>
      <c r="I36" s="20" t="str">
        <f>IF(F36&lt;&gt;"",IF(IF(G36="Fresh",IF('JDL Misc Income'!F36&lt;&gt;"",'JDL Misc Income'!F36*'JDL PROCESSING FEES MASTER'!F$10,""),IF('JDL Misc Income'!F36&lt;&gt;"",'JDL Misc Income'!F36*'JDL PROCESSING FEES MASTER'!F$14,""))&gt;'JDL PROCESSING FEES MASTER'!G$8,'JDL PROCESSING FEES MASTER'!G$8,IF(G36="Fresh",IF('JDL Misc Income'!F36&lt;&gt;"",'JDL Misc Income'!F36*'JDL PROCESSING FEES MASTER'!F$10,""),IF('JDL Misc Income'!F36&lt;&gt;"",'JDL Misc Income'!F36*'JDL PROCESSING FEES MASTER'!F$14,""))),"")</f>
        <v/>
      </c>
      <c r="J36" s="20" t="str">
        <f t="shared" si="0"/>
        <v/>
      </c>
    </row>
    <row r="37" spans="1:10" ht="38.25" customHeight="1" x14ac:dyDescent="0.3">
      <c r="A37" s="1">
        <v>32</v>
      </c>
      <c r="B37" s="15" t="str">
        <f>IF('[1]Main Sheet'!C36="","",358)</f>
        <v/>
      </c>
      <c r="C37" s="16" t="str">
        <f>IF('[1]Main Sheet'!C36="","",'[1]Main Sheet'!C36)</f>
        <v/>
      </c>
      <c r="D37" s="17" t="str">
        <f>IF('[1]Main Sheet'!D36="","",'[1]Main Sheet'!D36)</f>
        <v/>
      </c>
      <c r="E37" s="15" t="str">
        <f>IF('[1]Main Sheet'!E36="","",'[1]Main Sheet'!E36)</f>
        <v/>
      </c>
      <c r="F37" s="15" t="str">
        <f>IF('[1]Main Sheet'!I36="","",'[1]Main Sheet'!I36)</f>
        <v/>
      </c>
      <c r="G37" s="15" t="str">
        <f>IF('[1]Main Sheet'!L36="","",'[1]Main Sheet'!L36)</f>
        <v>Fresh</v>
      </c>
      <c r="H37" s="20" t="str">
        <f>IF(F37&lt;&gt;"",IF(IF(G37="Fresh",IF('JDL Misc Income'!F37&lt;&gt;"",'JDL Misc Income'!F37*'JDL PROCESSING FEES MASTER'!F$10,""),IF('JDL Misc Income'!F37&lt;&gt;"",'JDL Misc Income'!F37*'JDL PROCESSING FEES MASTER'!F$14,""))&gt;'JDL PROCESSING FEES MASTER'!G$10,'JDL PROCESSING FEES MASTER'!G$10,IF(G37="Fresh",IF('JDL Misc Income'!F37&lt;&gt;"",'JDL Misc Income'!F37*'JDL PROCESSING FEES MASTER'!F$10,""),IF('JDL Misc Income'!F37&lt;&gt;"",'JDL Misc Income'!F37*'JDL PROCESSING FEES MASTER'!F$14,""))),"")</f>
        <v/>
      </c>
      <c r="I37" s="20" t="str">
        <f>IF(F37&lt;&gt;"",IF(IF(G37="Fresh",IF('JDL Misc Income'!F37&lt;&gt;"",'JDL Misc Income'!F37*'JDL PROCESSING FEES MASTER'!F$10,""),IF('JDL Misc Income'!F37&lt;&gt;"",'JDL Misc Income'!F37*'JDL PROCESSING FEES MASTER'!F$14,""))&gt;'JDL PROCESSING FEES MASTER'!G$8,'JDL PROCESSING FEES MASTER'!G$8,IF(G37="Fresh",IF('JDL Misc Income'!F37&lt;&gt;"",'JDL Misc Income'!F37*'JDL PROCESSING FEES MASTER'!F$10,""),IF('JDL Misc Income'!F37&lt;&gt;"",'JDL Misc Income'!F37*'JDL PROCESSING FEES MASTER'!F$14,""))),"")</f>
        <v/>
      </c>
      <c r="J37" s="20" t="str">
        <f t="shared" si="0"/>
        <v/>
      </c>
    </row>
    <row r="38" spans="1:10" ht="38.25" customHeight="1" x14ac:dyDescent="0.3">
      <c r="A38" s="1">
        <v>33</v>
      </c>
      <c r="B38" s="15" t="str">
        <f>IF('[1]Main Sheet'!C37="","",358)</f>
        <v/>
      </c>
      <c r="C38" s="16" t="str">
        <f>IF('[1]Main Sheet'!C37="","",'[1]Main Sheet'!C37)</f>
        <v/>
      </c>
      <c r="D38" s="17" t="str">
        <f>IF('[1]Main Sheet'!D37="","",'[1]Main Sheet'!D37)</f>
        <v/>
      </c>
      <c r="E38" s="15" t="str">
        <f>IF('[1]Main Sheet'!E37="","",'[1]Main Sheet'!E37)</f>
        <v/>
      </c>
      <c r="F38" s="15" t="str">
        <f>IF('[1]Main Sheet'!I37="","",'[1]Main Sheet'!I37)</f>
        <v/>
      </c>
      <c r="G38" s="15" t="str">
        <f>IF('[1]Main Sheet'!L37="","",'[1]Main Sheet'!L37)</f>
        <v>Fresh</v>
      </c>
      <c r="H38" s="20" t="str">
        <f>IF(F38&lt;&gt;"",IF(IF(G38="Fresh",IF('JDL Misc Income'!F38&lt;&gt;"",'JDL Misc Income'!F38*'JDL PROCESSING FEES MASTER'!F$10,""),IF('JDL Misc Income'!F38&lt;&gt;"",'JDL Misc Income'!F38*'JDL PROCESSING FEES MASTER'!F$14,""))&gt;'JDL PROCESSING FEES MASTER'!G$10,'JDL PROCESSING FEES MASTER'!G$10,IF(G38="Fresh",IF('JDL Misc Income'!F38&lt;&gt;"",'JDL Misc Income'!F38*'JDL PROCESSING FEES MASTER'!F$10,""),IF('JDL Misc Income'!F38&lt;&gt;"",'JDL Misc Income'!F38*'JDL PROCESSING FEES MASTER'!F$14,""))),"")</f>
        <v/>
      </c>
      <c r="I38" s="20" t="str">
        <f>IF(F38&lt;&gt;"",IF(IF(G38="Fresh",IF('JDL Misc Income'!F38&lt;&gt;"",'JDL Misc Income'!F38*'JDL PROCESSING FEES MASTER'!F$10,""),IF('JDL Misc Income'!F38&lt;&gt;"",'JDL Misc Income'!F38*'JDL PROCESSING FEES MASTER'!F$14,""))&gt;'JDL PROCESSING FEES MASTER'!G$8,'JDL PROCESSING FEES MASTER'!G$8,IF(G38="Fresh",IF('JDL Misc Income'!F38&lt;&gt;"",'JDL Misc Income'!F38*'JDL PROCESSING FEES MASTER'!F$10,""),IF('JDL Misc Income'!F38&lt;&gt;"",'JDL Misc Income'!F38*'JDL PROCESSING FEES MASTER'!F$14,""))),"")</f>
        <v/>
      </c>
      <c r="J38" s="20" t="str">
        <f t="shared" si="0"/>
        <v/>
      </c>
    </row>
    <row r="39" spans="1:10" ht="38.25" customHeight="1" x14ac:dyDescent="0.3">
      <c r="A39" s="1">
        <v>34</v>
      </c>
      <c r="B39" s="15" t="str">
        <f>IF('[1]Main Sheet'!C38="","",358)</f>
        <v/>
      </c>
      <c r="C39" s="16" t="str">
        <f>IF('[1]Main Sheet'!C38="","",'[1]Main Sheet'!C38)</f>
        <v/>
      </c>
      <c r="D39" s="17" t="str">
        <f>IF('[1]Main Sheet'!D38="","",'[1]Main Sheet'!D38)</f>
        <v/>
      </c>
      <c r="E39" s="15" t="str">
        <f>IF('[1]Main Sheet'!E38="","",'[1]Main Sheet'!E38)</f>
        <v/>
      </c>
      <c r="F39" s="15" t="str">
        <f>IF('[1]Main Sheet'!I38="","",'[1]Main Sheet'!I38)</f>
        <v/>
      </c>
      <c r="G39" s="15" t="str">
        <f>IF('[1]Main Sheet'!L38="","",'[1]Main Sheet'!L38)</f>
        <v>Fresh</v>
      </c>
      <c r="H39" s="20" t="str">
        <f>IF(F39&lt;&gt;"",IF(IF(G39="Fresh",IF('JDL Misc Income'!F39&lt;&gt;"",'JDL Misc Income'!F39*'JDL PROCESSING FEES MASTER'!F$10,""),IF('JDL Misc Income'!F39&lt;&gt;"",'JDL Misc Income'!F39*'JDL PROCESSING FEES MASTER'!F$14,""))&gt;'JDL PROCESSING FEES MASTER'!G$10,'JDL PROCESSING FEES MASTER'!G$10,IF(G39="Fresh",IF('JDL Misc Income'!F39&lt;&gt;"",'JDL Misc Income'!F39*'JDL PROCESSING FEES MASTER'!F$10,""),IF('JDL Misc Income'!F39&lt;&gt;"",'JDL Misc Income'!F39*'JDL PROCESSING FEES MASTER'!F$14,""))),"")</f>
        <v/>
      </c>
      <c r="I39" s="20" t="str">
        <f>IF(F39&lt;&gt;"",IF(IF(G39="Fresh",IF('JDL Misc Income'!F39&lt;&gt;"",'JDL Misc Income'!F39*'JDL PROCESSING FEES MASTER'!F$10,""),IF('JDL Misc Income'!F39&lt;&gt;"",'JDL Misc Income'!F39*'JDL PROCESSING FEES MASTER'!F$14,""))&gt;'JDL PROCESSING FEES MASTER'!G$8,'JDL PROCESSING FEES MASTER'!G$8,IF(G39="Fresh",IF('JDL Misc Income'!F39&lt;&gt;"",'JDL Misc Income'!F39*'JDL PROCESSING FEES MASTER'!F$10,""),IF('JDL Misc Income'!F39&lt;&gt;"",'JDL Misc Income'!F39*'JDL PROCESSING FEES MASTER'!F$14,""))),"")</f>
        <v/>
      </c>
      <c r="J39" s="20" t="str">
        <f t="shared" si="0"/>
        <v/>
      </c>
    </row>
    <row r="40" spans="1:10" ht="38.25" customHeight="1" x14ac:dyDescent="0.3">
      <c r="A40" s="1">
        <v>35</v>
      </c>
      <c r="B40" s="15" t="str">
        <f>IF('[1]Main Sheet'!C39="","",358)</f>
        <v/>
      </c>
      <c r="C40" s="16" t="str">
        <f>IF('[1]Main Sheet'!C39="","",'[1]Main Sheet'!C39)</f>
        <v/>
      </c>
      <c r="D40" s="17" t="str">
        <f>IF('[1]Main Sheet'!D39="","",'[1]Main Sheet'!D39)</f>
        <v/>
      </c>
      <c r="E40" s="15" t="str">
        <f>IF('[1]Main Sheet'!E39="","",'[1]Main Sheet'!E39)</f>
        <v/>
      </c>
      <c r="F40" s="15" t="str">
        <f>IF('[1]Main Sheet'!I39="","",'[1]Main Sheet'!I39)</f>
        <v/>
      </c>
      <c r="G40" s="15" t="str">
        <f>IF('[1]Main Sheet'!L39="","",'[1]Main Sheet'!L39)</f>
        <v>Fresh</v>
      </c>
      <c r="H40" s="20" t="str">
        <f>IF(F40&lt;&gt;"",IF(IF(G40="Fresh",IF('JDL Misc Income'!F40&lt;&gt;"",'JDL Misc Income'!F40*'JDL PROCESSING FEES MASTER'!F$10,""),IF('JDL Misc Income'!F40&lt;&gt;"",'JDL Misc Income'!F40*'JDL PROCESSING FEES MASTER'!F$14,""))&gt;'JDL PROCESSING FEES MASTER'!G$10,'JDL PROCESSING FEES MASTER'!G$10,IF(G40="Fresh",IF('JDL Misc Income'!F40&lt;&gt;"",'JDL Misc Income'!F40*'JDL PROCESSING FEES MASTER'!F$10,""),IF('JDL Misc Income'!F40&lt;&gt;"",'JDL Misc Income'!F40*'JDL PROCESSING FEES MASTER'!F$14,""))),"")</f>
        <v/>
      </c>
      <c r="I40" s="20" t="str">
        <f>IF(F40&lt;&gt;"",IF(IF(G40="Fresh",IF('JDL Misc Income'!F40&lt;&gt;"",'JDL Misc Income'!F40*'JDL PROCESSING FEES MASTER'!F$10,""),IF('JDL Misc Income'!F40&lt;&gt;"",'JDL Misc Income'!F40*'JDL PROCESSING FEES MASTER'!F$14,""))&gt;'JDL PROCESSING FEES MASTER'!G$8,'JDL PROCESSING FEES MASTER'!G$8,IF(G40="Fresh",IF('JDL Misc Income'!F40&lt;&gt;"",'JDL Misc Income'!F40*'JDL PROCESSING FEES MASTER'!F$10,""),IF('JDL Misc Income'!F40&lt;&gt;"",'JDL Misc Income'!F40*'JDL PROCESSING FEES MASTER'!F$14,""))),"")</f>
        <v/>
      </c>
      <c r="J40" s="20" t="str">
        <f t="shared" si="0"/>
        <v/>
      </c>
    </row>
    <row r="41" spans="1:10" ht="38.25" customHeight="1" x14ac:dyDescent="0.3">
      <c r="A41" s="1">
        <v>36</v>
      </c>
      <c r="B41" s="15" t="str">
        <f>IF('[1]Main Sheet'!C40="","",358)</f>
        <v/>
      </c>
      <c r="C41" s="16" t="str">
        <f>IF('[1]Main Sheet'!C40="","",'[1]Main Sheet'!C40)</f>
        <v/>
      </c>
      <c r="D41" s="17" t="str">
        <f>IF('[1]Main Sheet'!D40="","",'[1]Main Sheet'!D40)</f>
        <v/>
      </c>
      <c r="E41" s="15" t="str">
        <f>IF('[1]Main Sheet'!E40="","",'[1]Main Sheet'!E40)</f>
        <v/>
      </c>
      <c r="F41" s="15" t="str">
        <f>IF('[1]Main Sheet'!I40="","",'[1]Main Sheet'!I40)</f>
        <v/>
      </c>
      <c r="G41" s="15" t="str">
        <f>IF('[1]Main Sheet'!L40="","",'[1]Main Sheet'!L40)</f>
        <v>Fresh</v>
      </c>
      <c r="H41" s="20" t="str">
        <f>IF(F41&lt;&gt;"",IF(IF(G41="Fresh",IF('JDL Misc Income'!F41&lt;&gt;"",'JDL Misc Income'!F41*'JDL PROCESSING FEES MASTER'!F$10,""),IF('JDL Misc Income'!F41&lt;&gt;"",'JDL Misc Income'!F41*'JDL PROCESSING FEES MASTER'!F$14,""))&gt;'JDL PROCESSING FEES MASTER'!G$10,'JDL PROCESSING FEES MASTER'!G$10,IF(G41="Fresh",IF('JDL Misc Income'!F41&lt;&gt;"",'JDL Misc Income'!F41*'JDL PROCESSING FEES MASTER'!F$10,""),IF('JDL Misc Income'!F41&lt;&gt;"",'JDL Misc Income'!F41*'JDL PROCESSING FEES MASTER'!F$14,""))),"")</f>
        <v/>
      </c>
      <c r="I41" s="20" t="str">
        <f>IF(F41&lt;&gt;"",IF(IF(G41="Fresh",IF('JDL Misc Income'!F41&lt;&gt;"",'JDL Misc Income'!F41*'JDL PROCESSING FEES MASTER'!F$10,""),IF('JDL Misc Income'!F41&lt;&gt;"",'JDL Misc Income'!F41*'JDL PROCESSING FEES MASTER'!F$14,""))&gt;'JDL PROCESSING FEES MASTER'!G$8,'JDL PROCESSING FEES MASTER'!G$8,IF(G41="Fresh",IF('JDL Misc Income'!F41&lt;&gt;"",'JDL Misc Income'!F41*'JDL PROCESSING FEES MASTER'!F$10,""),IF('JDL Misc Income'!F41&lt;&gt;"",'JDL Misc Income'!F41*'JDL PROCESSING FEES MASTER'!F$14,""))),"")</f>
        <v/>
      </c>
      <c r="J41" s="20" t="str">
        <f t="shared" si="0"/>
        <v/>
      </c>
    </row>
    <row r="42" spans="1:10" ht="38.25" customHeight="1" x14ac:dyDescent="0.3">
      <c r="A42" s="1">
        <v>37</v>
      </c>
      <c r="B42" s="15" t="str">
        <f>IF('[1]Main Sheet'!C41="","",358)</f>
        <v/>
      </c>
      <c r="C42" s="16" t="str">
        <f>IF('[1]Main Sheet'!C41="","",'[1]Main Sheet'!C41)</f>
        <v/>
      </c>
      <c r="D42" s="17" t="str">
        <f>IF('[1]Main Sheet'!D41="","",'[1]Main Sheet'!D41)</f>
        <v/>
      </c>
      <c r="E42" s="15" t="str">
        <f>IF('[1]Main Sheet'!E41="","",'[1]Main Sheet'!E41)</f>
        <v/>
      </c>
      <c r="F42" s="15" t="str">
        <f>IF('[1]Main Sheet'!I41="","",'[1]Main Sheet'!I41)</f>
        <v/>
      </c>
      <c r="G42" s="15" t="str">
        <f>IF('[1]Main Sheet'!L41="","",'[1]Main Sheet'!L41)</f>
        <v>Fresh</v>
      </c>
      <c r="H42" s="20" t="str">
        <f>IF(F42&lt;&gt;"",IF(IF(G42="Fresh",IF('JDL Misc Income'!F42&lt;&gt;"",'JDL Misc Income'!F42*'JDL PROCESSING FEES MASTER'!F$10,""),IF('JDL Misc Income'!F42&lt;&gt;"",'JDL Misc Income'!F42*'JDL PROCESSING FEES MASTER'!F$14,""))&gt;'JDL PROCESSING FEES MASTER'!G$10,'JDL PROCESSING FEES MASTER'!G$10,IF(G42="Fresh",IF('JDL Misc Income'!F42&lt;&gt;"",'JDL Misc Income'!F42*'JDL PROCESSING FEES MASTER'!F$10,""),IF('JDL Misc Income'!F42&lt;&gt;"",'JDL Misc Income'!F42*'JDL PROCESSING FEES MASTER'!F$14,""))),"")</f>
        <v/>
      </c>
      <c r="I42" s="20" t="str">
        <f>IF(F42&lt;&gt;"",IF(IF(G42="Fresh",IF('JDL Misc Income'!F42&lt;&gt;"",'JDL Misc Income'!F42*'JDL PROCESSING FEES MASTER'!F$10,""),IF('JDL Misc Income'!F42&lt;&gt;"",'JDL Misc Income'!F42*'JDL PROCESSING FEES MASTER'!F$14,""))&gt;'JDL PROCESSING FEES MASTER'!G$8,'JDL PROCESSING FEES MASTER'!G$8,IF(G42="Fresh",IF('JDL Misc Income'!F42&lt;&gt;"",'JDL Misc Income'!F42*'JDL PROCESSING FEES MASTER'!F$10,""),IF('JDL Misc Income'!F42&lt;&gt;"",'JDL Misc Income'!F42*'JDL PROCESSING FEES MASTER'!F$14,""))),"")</f>
        <v/>
      </c>
      <c r="J42" s="20" t="str">
        <f t="shared" si="0"/>
        <v/>
      </c>
    </row>
    <row r="43" spans="1:10" ht="38.25" customHeight="1" x14ac:dyDescent="0.3">
      <c r="A43" s="1">
        <v>38</v>
      </c>
      <c r="B43" s="15" t="str">
        <f>IF('[1]Main Sheet'!C42="","",358)</f>
        <v/>
      </c>
      <c r="C43" s="16" t="str">
        <f>IF('[1]Main Sheet'!C42="","",'[1]Main Sheet'!C42)</f>
        <v/>
      </c>
      <c r="D43" s="17" t="str">
        <f>IF('[1]Main Sheet'!D42="","",'[1]Main Sheet'!D42)</f>
        <v/>
      </c>
      <c r="E43" s="15" t="str">
        <f>IF('[1]Main Sheet'!E42="","",'[1]Main Sheet'!E42)</f>
        <v/>
      </c>
      <c r="F43" s="15" t="str">
        <f>IF('[1]Main Sheet'!I42="","",'[1]Main Sheet'!I42)</f>
        <v/>
      </c>
      <c r="G43" s="15" t="str">
        <f>IF('[1]Main Sheet'!L42="","",'[1]Main Sheet'!L42)</f>
        <v>Fresh</v>
      </c>
      <c r="H43" s="20" t="str">
        <f>IF(F43&lt;&gt;"",IF(IF(G43="Fresh",IF('JDL Misc Income'!F43&lt;&gt;"",'JDL Misc Income'!F43*'JDL PROCESSING FEES MASTER'!F$10,""),IF('JDL Misc Income'!F43&lt;&gt;"",'JDL Misc Income'!F43*'JDL PROCESSING FEES MASTER'!F$14,""))&gt;'JDL PROCESSING FEES MASTER'!G$10,'JDL PROCESSING FEES MASTER'!G$10,IF(G43="Fresh",IF('JDL Misc Income'!F43&lt;&gt;"",'JDL Misc Income'!F43*'JDL PROCESSING FEES MASTER'!F$10,""),IF('JDL Misc Income'!F43&lt;&gt;"",'JDL Misc Income'!F43*'JDL PROCESSING FEES MASTER'!F$14,""))),"")</f>
        <v/>
      </c>
      <c r="I43" s="20" t="str">
        <f>IF(F43&lt;&gt;"",IF(IF(G43="Fresh",IF('JDL Misc Income'!F43&lt;&gt;"",'JDL Misc Income'!F43*'JDL PROCESSING FEES MASTER'!F$10,""),IF('JDL Misc Income'!F43&lt;&gt;"",'JDL Misc Income'!F43*'JDL PROCESSING FEES MASTER'!F$14,""))&gt;'JDL PROCESSING FEES MASTER'!G$8,'JDL PROCESSING FEES MASTER'!G$8,IF(G43="Fresh",IF('JDL Misc Income'!F43&lt;&gt;"",'JDL Misc Income'!F43*'JDL PROCESSING FEES MASTER'!F$10,""),IF('JDL Misc Income'!F43&lt;&gt;"",'JDL Misc Income'!F43*'JDL PROCESSING FEES MASTER'!F$14,""))),"")</f>
        <v/>
      </c>
      <c r="J43" s="20" t="str">
        <f t="shared" si="0"/>
        <v/>
      </c>
    </row>
    <row r="44" spans="1:10" ht="38.25" customHeight="1" x14ac:dyDescent="0.3">
      <c r="A44" s="1">
        <v>39</v>
      </c>
      <c r="B44" s="15" t="str">
        <f>IF('[1]Main Sheet'!C43="","",358)</f>
        <v/>
      </c>
      <c r="C44" s="16" t="str">
        <f>IF('[1]Main Sheet'!C43="","",'[1]Main Sheet'!C43)</f>
        <v/>
      </c>
      <c r="D44" s="17" t="str">
        <f>IF('[1]Main Sheet'!D43="","",'[1]Main Sheet'!D43)</f>
        <v/>
      </c>
      <c r="E44" s="15" t="str">
        <f>IF('[1]Main Sheet'!E43="","",'[1]Main Sheet'!E43)</f>
        <v/>
      </c>
      <c r="F44" s="15" t="str">
        <f>IF('[1]Main Sheet'!I43="","",'[1]Main Sheet'!I43)</f>
        <v/>
      </c>
      <c r="G44" s="15" t="str">
        <f>IF('[1]Main Sheet'!L43="","",'[1]Main Sheet'!L43)</f>
        <v>Fresh</v>
      </c>
      <c r="H44" s="20" t="str">
        <f>IF(F44&lt;&gt;"",IF(IF(G44="Fresh",IF('JDL Misc Income'!F44&lt;&gt;"",'JDL Misc Income'!F44*'JDL PROCESSING FEES MASTER'!F$10,""),IF('JDL Misc Income'!F44&lt;&gt;"",'JDL Misc Income'!F44*'JDL PROCESSING FEES MASTER'!F$14,""))&gt;'JDL PROCESSING FEES MASTER'!G$10,'JDL PROCESSING FEES MASTER'!G$10,IF(G44="Fresh",IF('JDL Misc Income'!F44&lt;&gt;"",'JDL Misc Income'!F44*'JDL PROCESSING FEES MASTER'!F$10,""),IF('JDL Misc Income'!F44&lt;&gt;"",'JDL Misc Income'!F44*'JDL PROCESSING FEES MASTER'!F$14,""))),"")</f>
        <v/>
      </c>
      <c r="I44" s="20" t="str">
        <f>IF(F44&lt;&gt;"",IF(IF(G44="Fresh",IF('JDL Misc Income'!F44&lt;&gt;"",'JDL Misc Income'!F44*'JDL PROCESSING FEES MASTER'!F$10,""),IF('JDL Misc Income'!F44&lt;&gt;"",'JDL Misc Income'!F44*'JDL PROCESSING FEES MASTER'!F$14,""))&gt;'JDL PROCESSING FEES MASTER'!G$8,'JDL PROCESSING FEES MASTER'!G$8,IF(G44="Fresh",IF('JDL Misc Income'!F44&lt;&gt;"",'JDL Misc Income'!F44*'JDL PROCESSING FEES MASTER'!F$10,""),IF('JDL Misc Income'!F44&lt;&gt;"",'JDL Misc Income'!F44*'JDL PROCESSING FEES MASTER'!F$14,""))),"")</f>
        <v/>
      </c>
      <c r="J44" s="20" t="str">
        <f t="shared" si="0"/>
        <v/>
      </c>
    </row>
    <row r="45" spans="1:10" ht="38.25" customHeight="1" x14ac:dyDescent="0.3">
      <c r="A45" s="1">
        <v>40</v>
      </c>
      <c r="B45" s="15" t="str">
        <f>IF('[1]Main Sheet'!C44="","",358)</f>
        <v/>
      </c>
      <c r="C45" s="16" t="str">
        <f>IF('[1]Main Sheet'!C44="","",'[1]Main Sheet'!C44)</f>
        <v/>
      </c>
      <c r="D45" s="17" t="str">
        <f>IF('[1]Main Sheet'!D44="","",'[1]Main Sheet'!D44)</f>
        <v/>
      </c>
      <c r="E45" s="15" t="str">
        <f>IF('[1]Main Sheet'!E44="","",'[1]Main Sheet'!E44)</f>
        <v/>
      </c>
      <c r="F45" s="15" t="str">
        <f>IF('[1]Main Sheet'!I44="","",'[1]Main Sheet'!I44)</f>
        <v/>
      </c>
      <c r="G45" s="15" t="str">
        <f>IF('[1]Main Sheet'!L44="","",'[1]Main Sheet'!L44)</f>
        <v>Fresh</v>
      </c>
      <c r="H45" s="20" t="str">
        <f>IF(F45&lt;&gt;"",IF(IF(G45="Fresh",IF('JDL Misc Income'!F45&lt;&gt;"",'JDL Misc Income'!F45*'JDL PROCESSING FEES MASTER'!F$10,""),IF('JDL Misc Income'!F45&lt;&gt;"",'JDL Misc Income'!F45*'JDL PROCESSING FEES MASTER'!F$14,""))&gt;'JDL PROCESSING FEES MASTER'!G$10,'JDL PROCESSING FEES MASTER'!G$10,IF(G45="Fresh",IF('JDL Misc Income'!F45&lt;&gt;"",'JDL Misc Income'!F45*'JDL PROCESSING FEES MASTER'!F$10,""),IF('JDL Misc Income'!F45&lt;&gt;"",'JDL Misc Income'!F45*'JDL PROCESSING FEES MASTER'!F$14,""))),"")</f>
        <v/>
      </c>
      <c r="I45" s="20" t="str">
        <f>IF(F45&lt;&gt;"",IF(IF(G45="Fresh",IF('JDL Misc Income'!F45&lt;&gt;"",'JDL Misc Income'!F45*'JDL PROCESSING FEES MASTER'!F$10,""),IF('JDL Misc Income'!F45&lt;&gt;"",'JDL Misc Income'!F45*'JDL PROCESSING FEES MASTER'!F$14,""))&gt;'JDL PROCESSING FEES MASTER'!G$8,'JDL PROCESSING FEES MASTER'!G$8,IF(G45="Fresh",IF('JDL Misc Income'!F45&lt;&gt;"",'JDL Misc Income'!F45*'JDL PROCESSING FEES MASTER'!F$10,""),IF('JDL Misc Income'!F45&lt;&gt;"",'JDL Misc Income'!F45*'JDL PROCESSING FEES MASTER'!F$14,""))),"")</f>
        <v/>
      </c>
      <c r="J45" s="20" t="str">
        <f t="shared" si="0"/>
        <v/>
      </c>
    </row>
    <row r="46" spans="1:10" ht="38.25" customHeight="1" x14ac:dyDescent="0.3">
      <c r="A46" s="1">
        <v>41</v>
      </c>
      <c r="B46" s="15" t="str">
        <f>IF('[1]Main Sheet'!C45="","",358)</f>
        <v/>
      </c>
      <c r="C46" s="16" t="str">
        <f>IF('[1]Main Sheet'!C45="","",'[1]Main Sheet'!C45)</f>
        <v/>
      </c>
      <c r="D46" s="17" t="str">
        <f>IF('[1]Main Sheet'!D45="","",'[1]Main Sheet'!D45)</f>
        <v/>
      </c>
      <c r="E46" s="15" t="str">
        <f>IF('[1]Main Sheet'!E45="","",'[1]Main Sheet'!E45)</f>
        <v/>
      </c>
      <c r="F46" s="15" t="str">
        <f>IF('[1]Main Sheet'!I45="","",'[1]Main Sheet'!I45)</f>
        <v/>
      </c>
      <c r="G46" s="15" t="str">
        <f>IF('[1]Main Sheet'!L45="","",'[1]Main Sheet'!L45)</f>
        <v>Renewal</v>
      </c>
      <c r="H46" s="20" t="str">
        <f>IF(F46&lt;&gt;"",IF(IF(G46="Fresh",IF('JDL Misc Income'!F46&lt;&gt;"",'JDL Misc Income'!F46*'JDL PROCESSING FEES MASTER'!F$10,""),IF('JDL Misc Income'!F46&lt;&gt;"",'JDL Misc Income'!F46*'JDL PROCESSING FEES MASTER'!F$14,""))&gt;'JDL PROCESSING FEES MASTER'!G$10,'JDL PROCESSING FEES MASTER'!G$10,IF(G46="Fresh",IF('JDL Misc Income'!F46&lt;&gt;"",'JDL Misc Income'!F46*'JDL PROCESSING FEES MASTER'!F$10,""),IF('JDL Misc Income'!F46&lt;&gt;"",'JDL Misc Income'!F46*'JDL PROCESSING FEES MASTER'!F$14,""))),"")</f>
        <v/>
      </c>
      <c r="I46" s="20" t="str">
        <f>IF(F46&lt;&gt;"",IF(IF(G46="Fresh",IF('JDL Misc Income'!F46&lt;&gt;"",'JDL Misc Income'!F46*'JDL PROCESSING FEES MASTER'!F$10,""),IF('JDL Misc Income'!F46&lt;&gt;"",'JDL Misc Income'!F46*'JDL PROCESSING FEES MASTER'!F$14,""))&gt;'JDL PROCESSING FEES MASTER'!G$8,'JDL PROCESSING FEES MASTER'!G$8,IF(G46="Fresh",IF('JDL Misc Income'!F46&lt;&gt;"",'JDL Misc Income'!F46*'JDL PROCESSING FEES MASTER'!F$10,""),IF('JDL Misc Income'!F46&lt;&gt;"",'JDL Misc Income'!F46*'JDL PROCESSING FEES MASTER'!F$14,""))),"")</f>
        <v/>
      </c>
      <c r="J46" s="20" t="str">
        <f t="shared" si="0"/>
        <v/>
      </c>
    </row>
    <row r="47" spans="1:10" ht="38.25" customHeight="1" x14ac:dyDescent="0.3">
      <c r="A47" s="1">
        <v>42</v>
      </c>
      <c r="B47" s="15" t="str">
        <f>IF('[1]Main Sheet'!C46="","",358)</f>
        <v/>
      </c>
      <c r="C47" s="16" t="str">
        <f>IF('[1]Main Sheet'!C46="","",'[1]Main Sheet'!C46)</f>
        <v/>
      </c>
      <c r="D47" s="17" t="str">
        <f>IF('[1]Main Sheet'!D46="","",'[1]Main Sheet'!D46)</f>
        <v/>
      </c>
      <c r="E47" s="15" t="str">
        <f>IF('[1]Main Sheet'!E46="","",'[1]Main Sheet'!E46)</f>
        <v/>
      </c>
      <c r="F47" s="15" t="str">
        <f>IF('[1]Main Sheet'!I46="","",'[1]Main Sheet'!I46)</f>
        <v/>
      </c>
      <c r="G47" s="15" t="str">
        <f>IF('[1]Main Sheet'!L46="","",'[1]Main Sheet'!L46)</f>
        <v>Renewal</v>
      </c>
      <c r="H47" s="20" t="str">
        <f>IF(F47&lt;&gt;"",IF(IF(G47="Fresh",IF('JDL Misc Income'!F47&lt;&gt;"",'JDL Misc Income'!F47*'JDL PROCESSING FEES MASTER'!F$10,""),IF('JDL Misc Income'!F47&lt;&gt;"",'JDL Misc Income'!F47*'JDL PROCESSING FEES MASTER'!F$14,""))&gt;'JDL PROCESSING FEES MASTER'!G$10,'JDL PROCESSING FEES MASTER'!G$10,IF(G47="Fresh",IF('JDL Misc Income'!F47&lt;&gt;"",'JDL Misc Income'!F47*'JDL PROCESSING FEES MASTER'!F$10,""),IF('JDL Misc Income'!F47&lt;&gt;"",'JDL Misc Income'!F47*'JDL PROCESSING FEES MASTER'!F$14,""))),"")</f>
        <v/>
      </c>
      <c r="I47" s="20" t="str">
        <f>IF(F47&lt;&gt;"",IF(IF(G47="Fresh",IF('JDL Misc Income'!F47&lt;&gt;"",'JDL Misc Income'!F47*'JDL PROCESSING FEES MASTER'!F$10,""),IF('JDL Misc Income'!F47&lt;&gt;"",'JDL Misc Income'!F47*'JDL PROCESSING FEES MASTER'!F$14,""))&gt;'JDL PROCESSING FEES MASTER'!G$8,'JDL PROCESSING FEES MASTER'!G$8,IF(G47="Fresh",IF('JDL Misc Income'!F47&lt;&gt;"",'JDL Misc Income'!F47*'JDL PROCESSING FEES MASTER'!F$10,""),IF('JDL Misc Income'!F47&lt;&gt;"",'JDL Misc Income'!F47*'JDL PROCESSING FEES MASTER'!F$14,""))),"")</f>
        <v/>
      </c>
      <c r="J47" s="20" t="str">
        <f t="shared" si="0"/>
        <v/>
      </c>
    </row>
    <row r="48" spans="1:10" ht="38.25" customHeight="1" x14ac:dyDescent="0.3">
      <c r="A48" s="1">
        <v>43</v>
      </c>
      <c r="B48" s="15" t="str">
        <f>IF('[1]Main Sheet'!C47="","",358)</f>
        <v/>
      </c>
      <c r="C48" s="16" t="str">
        <f>IF('[1]Main Sheet'!C47="","",'[1]Main Sheet'!C47)</f>
        <v/>
      </c>
      <c r="D48" s="17" t="str">
        <f>IF('[1]Main Sheet'!D47="","",'[1]Main Sheet'!D47)</f>
        <v/>
      </c>
      <c r="E48" s="15" t="str">
        <f>IF('[1]Main Sheet'!E47="","",'[1]Main Sheet'!E47)</f>
        <v/>
      </c>
      <c r="F48" s="15" t="str">
        <f>IF('[1]Main Sheet'!I47="","",'[1]Main Sheet'!I47)</f>
        <v/>
      </c>
      <c r="G48" s="15" t="str">
        <f>IF('[1]Main Sheet'!L47="","",'[1]Main Sheet'!L47)</f>
        <v>Fresh</v>
      </c>
      <c r="H48" s="20" t="str">
        <f>IF(F48&lt;&gt;"",IF(IF(G48="Fresh",IF('JDL Misc Income'!F48&lt;&gt;"",'JDL Misc Income'!F48*'JDL PROCESSING FEES MASTER'!F$10,""),IF('JDL Misc Income'!F48&lt;&gt;"",'JDL Misc Income'!F48*'JDL PROCESSING FEES MASTER'!F$14,""))&gt;'JDL PROCESSING FEES MASTER'!G$10,'JDL PROCESSING FEES MASTER'!G$10,IF(G48="Fresh",IF('JDL Misc Income'!F48&lt;&gt;"",'JDL Misc Income'!F48*'JDL PROCESSING FEES MASTER'!F$10,""),IF('JDL Misc Income'!F48&lt;&gt;"",'JDL Misc Income'!F48*'JDL PROCESSING FEES MASTER'!F$14,""))),"")</f>
        <v/>
      </c>
      <c r="I48" s="20" t="str">
        <f>IF(F48&lt;&gt;"",IF(IF(G48="Fresh",IF('JDL Misc Income'!F48&lt;&gt;"",'JDL Misc Income'!F48*'JDL PROCESSING FEES MASTER'!F$10,""),IF('JDL Misc Income'!F48&lt;&gt;"",'JDL Misc Income'!F48*'JDL PROCESSING FEES MASTER'!F$14,""))&gt;'JDL PROCESSING FEES MASTER'!G$8,'JDL PROCESSING FEES MASTER'!G$8,IF(G48="Fresh",IF('JDL Misc Income'!F48&lt;&gt;"",'JDL Misc Income'!F48*'JDL PROCESSING FEES MASTER'!F$10,""),IF('JDL Misc Income'!F48&lt;&gt;"",'JDL Misc Income'!F48*'JDL PROCESSING FEES MASTER'!F$14,""))),"")</f>
        <v/>
      </c>
      <c r="J48" s="20" t="str">
        <f t="shared" si="0"/>
        <v/>
      </c>
    </row>
    <row r="49" spans="1:10" ht="38.25" customHeight="1" x14ac:dyDescent="0.3">
      <c r="A49" s="1">
        <v>44</v>
      </c>
      <c r="B49" s="15" t="str">
        <f>IF('[1]Main Sheet'!C48="","",358)</f>
        <v/>
      </c>
      <c r="C49" s="16" t="str">
        <f>IF('[1]Main Sheet'!C48="","",'[1]Main Sheet'!C48)</f>
        <v/>
      </c>
      <c r="D49" s="17" t="str">
        <f>IF('[1]Main Sheet'!D48="","",'[1]Main Sheet'!D48)</f>
        <v/>
      </c>
      <c r="E49" s="15" t="str">
        <f>IF('[1]Main Sheet'!E48="","",'[1]Main Sheet'!E48)</f>
        <v/>
      </c>
      <c r="F49" s="15" t="str">
        <f>IF('[1]Main Sheet'!I48="","",'[1]Main Sheet'!I48)</f>
        <v/>
      </c>
      <c r="G49" s="15" t="str">
        <f>IF('[1]Main Sheet'!L48="","",'[1]Main Sheet'!L48)</f>
        <v>Renewal</v>
      </c>
      <c r="H49" s="20" t="str">
        <f>IF(F49&lt;&gt;"",IF(IF(G49="Fresh",IF('JDL Misc Income'!F49&lt;&gt;"",'JDL Misc Income'!F49*'JDL PROCESSING FEES MASTER'!F$10,""),IF('JDL Misc Income'!F49&lt;&gt;"",'JDL Misc Income'!F49*'JDL PROCESSING FEES MASTER'!F$14,""))&gt;'JDL PROCESSING FEES MASTER'!G$10,'JDL PROCESSING FEES MASTER'!G$10,IF(G49="Fresh",IF('JDL Misc Income'!F49&lt;&gt;"",'JDL Misc Income'!F49*'JDL PROCESSING FEES MASTER'!F$10,""),IF('JDL Misc Income'!F49&lt;&gt;"",'JDL Misc Income'!F49*'JDL PROCESSING FEES MASTER'!F$14,""))),"")</f>
        <v/>
      </c>
      <c r="I49" s="20" t="str">
        <f>IF(F49&lt;&gt;"",IF(IF(G49="Fresh",IF('JDL Misc Income'!F49&lt;&gt;"",'JDL Misc Income'!F49*'JDL PROCESSING FEES MASTER'!F$10,""),IF('JDL Misc Income'!F49&lt;&gt;"",'JDL Misc Income'!F49*'JDL PROCESSING FEES MASTER'!F$14,""))&gt;'JDL PROCESSING FEES MASTER'!G$8,'JDL PROCESSING FEES MASTER'!G$8,IF(G49="Fresh",IF('JDL Misc Income'!F49&lt;&gt;"",'JDL Misc Income'!F49*'JDL PROCESSING FEES MASTER'!F$10,""),IF('JDL Misc Income'!F49&lt;&gt;"",'JDL Misc Income'!F49*'JDL PROCESSING FEES MASTER'!F$14,""))),"")</f>
        <v/>
      </c>
      <c r="J49" s="20" t="str">
        <f t="shared" si="0"/>
        <v/>
      </c>
    </row>
    <row r="50" spans="1:10" ht="38.25" customHeight="1" x14ac:dyDescent="0.3">
      <c r="A50" s="1">
        <v>45</v>
      </c>
      <c r="B50" s="15" t="str">
        <f>IF('[1]Main Sheet'!C49="","",358)</f>
        <v/>
      </c>
      <c r="C50" s="16" t="str">
        <f>IF('[1]Main Sheet'!C49="","",'[1]Main Sheet'!C49)</f>
        <v/>
      </c>
      <c r="D50" s="17" t="str">
        <f>IF('[1]Main Sheet'!D49="","",'[1]Main Sheet'!D49)</f>
        <v/>
      </c>
      <c r="E50" s="15" t="str">
        <f>IF('[1]Main Sheet'!E49="","",'[1]Main Sheet'!E49)</f>
        <v/>
      </c>
      <c r="F50" s="15" t="str">
        <f>IF('[1]Main Sheet'!I49="","",'[1]Main Sheet'!I49)</f>
        <v/>
      </c>
      <c r="G50" s="15" t="str">
        <f>IF('[1]Main Sheet'!L49="","",'[1]Main Sheet'!L49)</f>
        <v>Fresh</v>
      </c>
      <c r="H50" s="20" t="str">
        <f>IF(F50&lt;&gt;"",IF(IF(G50="Fresh",IF('JDL Misc Income'!F50&lt;&gt;"",'JDL Misc Income'!F50*'JDL PROCESSING FEES MASTER'!F$10,""),IF('JDL Misc Income'!F50&lt;&gt;"",'JDL Misc Income'!F50*'JDL PROCESSING FEES MASTER'!F$14,""))&gt;'JDL PROCESSING FEES MASTER'!G$10,'JDL PROCESSING FEES MASTER'!G$10,IF(G50="Fresh",IF('JDL Misc Income'!F50&lt;&gt;"",'JDL Misc Income'!F50*'JDL PROCESSING FEES MASTER'!F$10,""),IF('JDL Misc Income'!F50&lt;&gt;"",'JDL Misc Income'!F50*'JDL PROCESSING FEES MASTER'!F$14,""))),"")</f>
        <v/>
      </c>
      <c r="I50" s="20" t="str">
        <f>IF(F50&lt;&gt;"",IF(IF(G50="Fresh",IF('JDL Misc Income'!F50&lt;&gt;"",'JDL Misc Income'!F50*'JDL PROCESSING FEES MASTER'!F$10,""),IF('JDL Misc Income'!F50&lt;&gt;"",'JDL Misc Income'!F50*'JDL PROCESSING FEES MASTER'!F$14,""))&gt;'JDL PROCESSING FEES MASTER'!G$8,'JDL PROCESSING FEES MASTER'!G$8,IF(G50="Fresh",IF('JDL Misc Income'!F50&lt;&gt;"",'JDL Misc Income'!F50*'JDL PROCESSING FEES MASTER'!F$10,""),IF('JDL Misc Income'!F50&lt;&gt;"",'JDL Misc Income'!F50*'JDL PROCESSING FEES MASTER'!F$14,""))),"")</f>
        <v/>
      </c>
      <c r="J50" s="20" t="str">
        <f t="shared" si="0"/>
        <v/>
      </c>
    </row>
    <row r="51" spans="1:10" ht="38.25" customHeight="1" x14ac:dyDescent="0.3">
      <c r="A51" s="1">
        <v>46</v>
      </c>
      <c r="B51" s="15" t="str">
        <f>IF('[1]Main Sheet'!C50="","",358)</f>
        <v/>
      </c>
      <c r="C51" s="16" t="str">
        <f>IF('[1]Main Sheet'!C50="","",'[1]Main Sheet'!C50)</f>
        <v/>
      </c>
      <c r="D51" s="17" t="str">
        <f>IF('[1]Main Sheet'!D50="","",'[1]Main Sheet'!D50)</f>
        <v/>
      </c>
      <c r="E51" s="15" t="str">
        <f>IF('[1]Main Sheet'!E50="","",'[1]Main Sheet'!E50)</f>
        <v/>
      </c>
      <c r="F51" s="15" t="str">
        <f>IF('[1]Main Sheet'!I50="","",'[1]Main Sheet'!I50)</f>
        <v/>
      </c>
      <c r="G51" s="15" t="str">
        <f>IF('[1]Main Sheet'!L50="","",'[1]Main Sheet'!L50)</f>
        <v>Renewal</v>
      </c>
      <c r="H51" s="20" t="str">
        <f>IF(F51&lt;&gt;"",IF(IF(G51="Fresh",IF('JDL Misc Income'!F51&lt;&gt;"",'JDL Misc Income'!F51*'JDL PROCESSING FEES MASTER'!F$10,""),IF('JDL Misc Income'!F51&lt;&gt;"",'JDL Misc Income'!F51*'JDL PROCESSING FEES MASTER'!F$14,""))&gt;'JDL PROCESSING FEES MASTER'!G$10,'JDL PROCESSING FEES MASTER'!G$10,IF(G51="Fresh",IF('JDL Misc Income'!F51&lt;&gt;"",'JDL Misc Income'!F51*'JDL PROCESSING FEES MASTER'!F$10,""),IF('JDL Misc Income'!F51&lt;&gt;"",'JDL Misc Income'!F51*'JDL PROCESSING FEES MASTER'!F$14,""))),"")</f>
        <v/>
      </c>
      <c r="I51" s="20" t="str">
        <f>IF(F51&lt;&gt;"",IF(IF(G51="Fresh",IF('JDL Misc Income'!F51&lt;&gt;"",'JDL Misc Income'!F51*'JDL PROCESSING FEES MASTER'!F$10,""),IF('JDL Misc Income'!F51&lt;&gt;"",'JDL Misc Income'!F51*'JDL PROCESSING FEES MASTER'!F$14,""))&gt;'JDL PROCESSING FEES MASTER'!G$8,'JDL PROCESSING FEES MASTER'!G$8,IF(G51="Fresh",IF('JDL Misc Income'!F51&lt;&gt;"",'JDL Misc Income'!F51*'JDL PROCESSING FEES MASTER'!F$10,""),IF('JDL Misc Income'!F51&lt;&gt;"",'JDL Misc Income'!F51*'JDL PROCESSING FEES MASTER'!F$14,""))),"")</f>
        <v/>
      </c>
      <c r="J51" s="20" t="str">
        <f t="shared" si="0"/>
        <v/>
      </c>
    </row>
    <row r="52" spans="1:10" ht="38.25" customHeight="1" x14ac:dyDescent="0.3">
      <c r="A52" s="1">
        <v>47</v>
      </c>
      <c r="B52" s="15" t="str">
        <f>IF('[1]Main Sheet'!C51="","",358)</f>
        <v/>
      </c>
      <c r="C52" s="16" t="str">
        <f>IF('[1]Main Sheet'!C51="","",'[1]Main Sheet'!C51)</f>
        <v/>
      </c>
      <c r="D52" s="17" t="str">
        <f>IF('[1]Main Sheet'!D51="","",'[1]Main Sheet'!D51)</f>
        <v/>
      </c>
      <c r="E52" s="15" t="str">
        <f>IF('[1]Main Sheet'!E51="","",'[1]Main Sheet'!E51)</f>
        <v/>
      </c>
      <c r="F52" s="15" t="str">
        <f>IF('[1]Main Sheet'!I51="","",'[1]Main Sheet'!I51)</f>
        <v/>
      </c>
      <c r="G52" s="15" t="str">
        <f>IF('[1]Main Sheet'!L51="","",'[1]Main Sheet'!L51)</f>
        <v>Renewal</v>
      </c>
      <c r="H52" s="20" t="str">
        <f>IF(F52&lt;&gt;"",IF(IF(G52="Fresh",IF('JDL Misc Income'!F52&lt;&gt;"",'JDL Misc Income'!F52*'JDL PROCESSING FEES MASTER'!F$10,""),IF('JDL Misc Income'!F52&lt;&gt;"",'JDL Misc Income'!F52*'JDL PROCESSING FEES MASTER'!F$14,""))&gt;'JDL PROCESSING FEES MASTER'!G$10,'JDL PROCESSING FEES MASTER'!G$10,IF(G52="Fresh",IF('JDL Misc Income'!F52&lt;&gt;"",'JDL Misc Income'!F52*'JDL PROCESSING FEES MASTER'!F$10,""),IF('JDL Misc Income'!F52&lt;&gt;"",'JDL Misc Income'!F52*'JDL PROCESSING FEES MASTER'!F$14,""))),"")</f>
        <v/>
      </c>
      <c r="I52" s="20" t="str">
        <f>IF(F52&lt;&gt;"",IF(IF(G52="Fresh",IF('JDL Misc Income'!F52&lt;&gt;"",'JDL Misc Income'!F52*'JDL PROCESSING FEES MASTER'!F$10,""),IF('JDL Misc Income'!F52&lt;&gt;"",'JDL Misc Income'!F52*'JDL PROCESSING FEES MASTER'!F$14,""))&gt;'JDL PROCESSING FEES MASTER'!G$8,'JDL PROCESSING FEES MASTER'!G$8,IF(G52="Fresh",IF('JDL Misc Income'!F52&lt;&gt;"",'JDL Misc Income'!F52*'JDL PROCESSING FEES MASTER'!F$10,""),IF('JDL Misc Income'!F52&lt;&gt;"",'JDL Misc Income'!F52*'JDL PROCESSING FEES MASTER'!F$14,""))),"")</f>
        <v/>
      </c>
      <c r="J52" s="20" t="str">
        <f t="shared" si="0"/>
        <v/>
      </c>
    </row>
    <row r="53" spans="1:10" ht="38.25" customHeight="1" x14ac:dyDescent="0.3">
      <c r="A53" s="1">
        <v>48</v>
      </c>
      <c r="B53" s="15" t="str">
        <f>IF('[1]Main Sheet'!C52="","",358)</f>
        <v/>
      </c>
      <c r="C53" s="16" t="str">
        <f>IF('[1]Main Sheet'!C52="","",'[1]Main Sheet'!C52)</f>
        <v/>
      </c>
      <c r="D53" s="17" t="str">
        <f>IF('[1]Main Sheet'!D52="","",'[1]Main Sheet'!D52)</f>
        <v/>
      </c>
      <c r="E53" s="15" t="str">
        <f>IF('[1]Main Sheet'!E52="","",'[1]Main Sheet'!E52)</f>
        <v/>
      </c>
      <c r="F53" s="15" t="str">
        <f>IF('[1]Main Sheet'!I52="","",'[1]Main Sheet'!I52)</f>
        <v/>
      </c>
      <c r="G53" s="15" t="str">
        <f>IF('[1]Main Sheet'!L52="","",'[1]Main Sheet'!L52)</f>
        <v>Fresh</v>
      </c>
      <c r="H53" s="20" t="str">
        <f>IF(F53&lt;&gt;"",IF(IF(G53="Fresh",IF('JDL Misc Income'!F53&lt;&gt;"",'JDL Misc Income'!F53*'JDL PROCESSING FEES MASTER'!F$10,""),IF('JDL Misc Income'!F53&lt;&gt;"",'JDL Misc Income'!F53*'JDL PROCESSING FEES MASTER'!F$14,""))&gt;'JDL PROCESSING FEES MASTER'!G$10,'JDL PROCESSING FEES MASTER'!G$10,IF(G53="Fresh",IF('JDL Misc Income'!F53&lt;&gt;"",'JDL Misc Income'!F53*'JDL PROCESSING FEES MASTER'!F$10,""),IF('JDL Misc Income'!F53&lt;&gt;"",'JDL Misc Income'!F53*'JDL PROCESSING FEES MASTER'!F$14,""))),"")</f>
        <v/>
      </c>
      <c r="I53" s="20" t="str">
        <f>IF(F53&lt;&gt;"",IF(IF(G53="Fresh",IF('JDL Misc Income'!F53&lt;&gt;"",'JDL Misc Income'!F53*'JDL PROCESSING FEES MASTER'!F$10,""),IF('JDL Misc Income'!F53&lt;&gt;"",'JDL Misc Income'!F53*'JDL PROCESSING FEES MASTER'!F$14,""))&gt;'JDL PROCESSING FEES MASTER'!G$8,'JDL PROCESSING FEES MASTER'!G$8,IF(G53="Fresh",IF('JDL Misc Income'!F53&lt;&gt;"",'JDL Misc Income'!F53*'JDL PROCESSING FEES MASTER'!F$10,""),IF('JDL Misc Income'!F53&lt;&gt;"",'JDL Misc Income'!F53*'JDL PROCESSING FEES MASTER'!F$14,""))),"")</f>
        <v/>
      </c>
      <c r="J53" s="20" t="str">
        <f t="shared" si="0"/>
        <v/>
      </c>
    </row>
    <row r="54" spans="1:10" ht="38.25" customHeight="1" x14ac:dyDescent="0.3">
      <c r="A54" s="1">
        <v>49</v>
      </c>
      <c r="B54" s="15" t="str">
        <f>IF('[1]Main Sheet'!C53="","",358)</f>
        <v/>
      </c>
      <c r="C54" s="16" t="str">
        <f>IF('[1]Main Sheet'!C53="","",'[1]Main Sheet'!C53)</f>
        <v/>
      </c>
      <c r="D54" s="17" t="str">
        <f>IF('[1]Main Sheet'!D53="","",'[1]Main Sheet'!D53)</f>
        <v/>
      </c>
      <c r="E54" s="15" t="str">
        <f>IF('[1]Main Sheet'!E53="","",'[1]Main Sheet'!E53)</f>
        <v/>
      </c>
      <c r="F54" s="15" t="str">
        <f>IF('[1]Main Sheet'!I53="","",'[1]Main Sheet'!I53)</f>
        <v/>
      </c>
      <c r="G54" s="15" t="str">
        <f>IF('[1]Main Sheet'!L53="","",'[1]Main Sheet'!L53)</f>
        <v>Renewal</v>
      </c>
      <c r="H54" s="20" t="str">
        <f>IF(F54&lt;&gt;"",IF(IF(G54="Fresh",IF('JDL Misc Income'!F54&lt;&gt;"",'JDL Misc Income'!F54*'JDL PROCESSING FEES MASTER'!F$10,""),IF('JDL Misc Income'!F54&lt;&gt;"",'JDL Misc Income'!F54*'JDL PROCESSING FEES MASTER'!F$14,""))&gt;'JDL PROCESSING FEES MASTER'!G$10,'JDL PROCESSING FEES MASTER'!G$10,IF(G54="Fresh",IF('JDL Misc Income'!F54&lt;&gt;"",'JDL Misc Income'!F54*'JDL PROCESSING FEES MASTER'!F$10,""),IF('JDL Misc Income'!F54&lt;&gt;"",'JDL Misc Income'!F54*'JDL PROCESSING FEES MASTER'!F$14,""))),"")</f>
        <v/>
      </c>
      <c r="I54" s="20" t="str">
        <f>IF(F54&lt;&gt;"",IF(IF(G54="Fresh",IF('JDL Misc Income'!F54&lt;&gt;"",'JDL Misc Income'!F54*'JDL PROCESSING FEES MASTER'!F$10,""),IF('JDL Misc Income'!F54&lt;&gt;"",'JDL Misc Income'!F54*'JDL PROCESSING FEES MASTER'!F$14,""))&gt;'JDL PROCESSING FEES MASTER'!G$8,'JDL PROCESSING FEES MASTER'!G$8,IF(G54="Fresh",IF('JDL Misc Income'!F54&lt;&gt;"",'JDL Misc Income'!F54*'JDL PROCESSING FEES MASTER'!F$10,""),IF('JDL Misc Income'!F54&lt;&gt;"",'JDL Misc Income'!F54*'JDL PROCESSING FEES MASTER'!F$14,""))),"")</f>
        <v/>
      </c>
      <c r="J54" s="20" t="str">
        <f t="shared" si="0"/>
        <v/>
      </c>
    </row>
    <row r="55" spans="1:10" ht="38.25" customHeight="1" x14ac:dyDescent="0.3">
      <c r="A55" s="1">
        <v>50</v>
      </c>
      <c r="B55" s="15" t="str">
        <f>IF('[1]Main Sheet'!C54="","",358)</f>
        <v/>
      </c>
      <c r="C55" s="16" t="str">
        <f>IF('[1]Main Sheet'!C54="","",'[1]Main Sheet'!C54)</f>
        <v/>
      </c>
      <c r="D55" s="17" t="str">
        <f>IF('[1]Main Sheet'!D54="","",'[1]Main Sheet'!D54)</f>
        <v/>
      </c>
      <c r="E55" s="15" t="str">
        <f>IF('[1]Main Sheet'!E54="","",'[1]Main Sheet'!E54)</f>
        <v/>
      </c>
      <c r="F55" s="15" t="str">
        <f>IF('[1]Main Sheet'!I54="","",'[1]Main Sheet'!I54)</f>
        <v/>
      </c>
      <c r="G55" s="15" t="str">
        <f>IF('[1]Main Sheet'!L54="","",'[1]Main Sheet'!L54)</f>
        <v>Renewal</v>
      </c>
      <c r="H55" s="20" t="str">
        <f>IF(F55&lt;&gt;"",IF(IF(G55="Fresh",IF('JDL Misc Income'!F55&lt;&gt;"",'JDL Misc Income'!F55*'JDL PROCESSING FEES MASTER'!F$10,""),IF('JDL Misc Income'!F55&lt;&gt;"",'JDL Misc Income'!F55*'JDL PROCESSING FEES MASTER'!F$14,""))&gt;'JDL PROCESSING FEES MASTER'!G$10,'JDL PROCESSING FEES MASTER'!G$10,IF(G55="Fresh",IF('JDL Misc Income'!F55&lt;&gt;"",'JDL Misc Income'!F55*'JDL PROCESSING FEES MASTER'!F$10,""),IF('JDL Misc Income'!F55&lt;&gt;"",'JDL Misc Income'!F55*'JDL PROCESSING FEES MASTER'!F$14,""))),"")</f>
        <v/>
      </c>
      <c r="I55" s="20" t="str">
        <f>IF(F55&lt;&gt;"",IF(IF(G55="Fresh",IF('JDL Misc Income'!F55&lt;&gt;"",'JDL Misc Income'!F55*'JDL PROCESSING FEES MASTER'!F$10,""),IF('JDL Misc Income'!F55&lt;&gt;"",'JDL Misc Income'!F55*'JDL PROCESSING FEES MASTER'!F$14,""))&gt;'JDL PROCESSING FEES MASTER'!G$8,'JDL PROCESSING FEES MASTER'!G$8,IF(G55="Fresh",IF('JDL Misc Income'!F55&lt;&gt;"",'JDL Misc Income'!F55*'JDL PROCESSING FEES MASTER'!F$10,""),IF('JDL Misc Income'!F55&lt;&gt;"",'JDL Misc Income'!F55*'JDL PROCESSING FEES MASTER'!F$14,""))),"")</f>
        <v/>
      </c>
      <c r="J55" s="20" t="str">
        <f t="shared" si="0"/>
        <v/>
      </c>
    </row>
    <row r="56" spans="1:10" ht="38.25" customHeight="1" x14ac:dyDescent="0.3">
      <c r="A56" s="1">
        <v>51</v>
      </c>
      <c r="B56" s="15" t="str">
        <f>IF('[1]Main Sheet'!C55="","",358)</f>
        <v/>
      </c>
      <c r="C56" s="16" t="str">
        <f>IF('[1]Main Sheet'!C55="","",'[1]Main Sheet'!C55)</f>
        <v/>
      </c>
      <c r="D56" s="17" t="str">
        <f>IF('[1]Main Sheet'!D55="","",'[1]Main Sheet'!D55)</f>
        <v/>
      </c>
      <c r="E56" s="15" t="str">
        <f>IF('[1]Main Sheet'!E55="","",'[1]Main Sheet'!E55)</f>
        <v/>
      </c>
      <c r="F56" s="15" t="str">
        <f>IF('[1]Main Sheet'!I55="","",'[1]Main Sheet'!I55)</f>
        <v/>
      </c>
      <c r="G56" s="15" t="str">
        <f>IF('[1]Main Sheet'!L55="","",'[1]Main Sheet'!L55)</f>
        <v>Fresh</v>
      </c>
      <c r="H56" s="20" t="str">
        <f>IF(F56&lt;&gt;"",IF(IF(G56="Fresh",IF('JDL Misc Income'!F56&lt;&gt;"",'JDL Misc Income'!F56*'JDL PROCESSING FEES MASTER'!F$10,""),IF('JDL Misc Income'!F56&lt;&gt;"",'JDL Misc Income'!F56*'JDL PROCESSING FEES MASTER'!F$14,""))&gt;'JDL PROCESSING FEES MASTER'!G$10,'JDL PROCESSING FEES MASTER'!G$10,IF(G56="Fresh",IF('JDL Misc Income'!F56&lt;&gt;"",'JDL Misc Income'!F56*'JDL PROCESSING FEES MASTER'!F$10,""),IF('JDL Misc Income'!F56&lt;&gt;"",'JDL Misc Income'!F56*'JDL PROCESSING FEES MASTER'!F$14,""))),"")</f>
        <v/>
      </c>
      <c r="I56" s="20" t="str">
        <f>IF(F56&lt;&gt;"",IF(IF(G56="Fresh",IF('JDL Misc Income'!F56&lt;&gt;"",'JDL Misc Income'!F56*'JDL PROCESSING FEES MASTER'!F$10,""),IF('JDL Misc Income'!F56&lt;&gt;"",'JDL Misc Income'!F56*'JDL PROCESSING FEES MASTER'!F$14,""))&gt;'JDL PROCESSING FEES MASTER'!G$8,'JDL PROCESSING FEES MASTER'!G$8,IF(G56="Fresh",IF('JDL Misc Income'!F56&lt;&gt;"",'JDL Misc Income'!F56*'JDL PROCESSING FEES MASTER'!F$10,""),IF('JDL Misc Income'!F56&lt;&gt;"",'JDL Misc Income'!F56*'JDL PROCESSING FEES MASTER'!F$14,""))),"")</f>
        <v/>
      </c>
      <c r="J56" s="20" t="str">
        <f t="shared" si="0"/>
        <v/>
      </c>
    </row>
    <row r="57" spans="1:10" ht="38.25" customHeight="1" x14ac:dyDescent="0.3">
      <c r="A57" s="1">
        <v>52</v>
      </c>
      <c r="B57" s="15" t="str">
        <f>IF('[1]Main Sheet'!C56="","",358)</f>
        <v/>
      </c>
      <c r="C57" s="16" t="str">
        <f>IF('[1]Main Sheet'!C56="","",'[1]Main Sheet'!C56)</f>
        <v/>
      </c>
      <c r="D57" s="17" t="str">
        <f>IF('[1]Main Sheet'!D56="","",'[1]Main Sheet'!D56)</f>
        <v/>
      </c>
      <c r="E57" s="15" t="str">
        <f>IF('[1]Main Sheet'!E56="","",'[1]Main Sheet'!E56)</f>
        <v/>
      </c>
      <c r="F57" s="15" t="str">
        <f>IF('[1]Main Sheet'!I56="","",'[1]Main Sheet'!I56)</f>
        <v/>
      </c>
      <c r="G57" s="15" t="str">
        <f>IF('[1]Main Sheet'!L56="","",'[1]Main Sheet'!L56)</f>
        <v>Fresh</v>
      </c>
      <c r="H57" s="20" t="str">
        <f>IF(F57&lt;&gt;"",IF(IF(G57="Fresh",IF('JDL Misc Income'!F57&lt;&gt;"",'JDL Misc Income'!F57*'JDL PROCESSING FEES MASTER'!F$10,""),IF('JDL Misc Income'!F57&lt;&gt;"",'JDL Misc Income'!F57*'JDL PROCESSING FEES MASTER'!F$14,""))&gt;'JDL PROCESSING FEES MASTER'!G$10,'JDL PROCESSING FEES MASTER'!G$10,IF(G57="Fresh",IF('JDL Misc Income'!F57&lt;&gt;"",'JDL Misc Income'!F57*'JDL PROCESSING FEES MASTER'!F$10,""),IF('JDL Misc Income'!F57&lt;&gt;"",'JDL Misc Income'!F57*'JDL PROCESSING FEES MASTER'!F$14,""))),"")</f>
        <v/>
      </c>
      <c r="I57" s="20" t="str">
        <f>IF(F57&lt;&gt;"",IF(IF(G57="Fresh",IF('JDL Misc Income'!F57&lt;&gt;"",'JDL Misc Income'!F57*'JDL PROCESSING FEES MASTER'!F$10,""),IF('JDL Misc Income'!F57&lt;&gt;"",'JDL Misc Income'!F57*'JDL PROCESSING FEES MASTER'!F$14,""))&gt;'JDL PROCESSING FEES MASTER'!G$8,'JDL PROCESSING FEES MASTER'!G$8,IF(G57="Fresh",IF('JDL Misc Income'!F57&lt;&gt;"",'JDL Misc Income'!F57*'JDL PROCESSING FEES MASTER'!F$10,""),IF('JDL Misc Income'!F57&lt;&gt;"",'JDL Misc Income'!F57*'JDL PROCESSING FEES MASTER'!F$14,""))),"")</f>
        <v/>
      </c>
      <c r="J57" s="20" t="str">
        <f t="shared" si="0"/>
        <v/>
      </c>
    </row>
    <row r="58" spans="1:10" ht="38.25" customHeight="1" x14ac:dyDescent="0.3">
      <c r="A58" s="1">
        <v>53</v>
      </c>
      <c r="B58" s="15" t="str">
        <f>IF('[1]Main Sheet'!C57="","",358)</f>
        <v/>
      </c>
      <c r="C58" s="16" t="str">
        <f>IF('[1]Main Sheet'!C57="","",'[1]Main Sheet'!C57)</f>
        <v/>
      </c>
      <c r="D58" s="17" t="str">
        <f>IF('[1]Main Sheet'!D57="","",'[1]Main Sheet'!D57)</f>
        <v/>
      </c>
      <c r="E58" s="15" t="str">
        <f>IF('[1]Main Sheet'!E57="","",'[1]Main Sheet'!E57)</f>
        <v/>
      </c>
      <c r="F58" s="15" t="str">
        <f>IF('[1]Main Sheet'!I57="","",'[1]Main Sheet'!I57)</f>
        <v/>
      </c>
      <c r="G58" s="15" t="str">
        <f>IF('[1]Main Sheet'!L57="","",'[1]Main Sheet'!L57)</f>
        <v>Renewal</v>
      </c>
      <c r="H58" s="20" t="str">
        <f>IF(F58&lt;&gt;"",IF(IF(G58="Fresh",IF('JDL Misc Income'!F58&lt;&gt;"",'JDL Misc Income'!F58*'JDL PROCESSING FEES MASTER'!F$10,""),IF('JDL Misc Income'!F58&lt;&gt;"",'JDL Misc Income'!F58*'JDL PROCESSING FEES MASTER'!F$14,""))&gt;'JDL PROCESSING FEES MASTER'!G$10,'JDL PROCESSING FEES MASTER'!G$10,IF(G58="Fresh",IF('JDL Misc Income'!F58&lt;&gt;"",'JDL Misc Income'!F58*'JDL PROCESSING FEES MASTER'!F$10,""),IF('JDL Misc Income'!F58&lt;&gt;"",'JDL Misc Income'!F58*'JDL PROCESSING FEES MASTER'!F$14,""))),"")</f>
        <v/>
      </c>
      <c r="I58" s="20" t="str">
        <f>IF(F58&lt;&gt;"",IF(IF(G58="Fresh",IF('JDL Misc Income'!F58&lt;&gt;"",'JDL Misc Income'!F58*'JDL PROCESSING FEES MASTER'!F$10,""),IF('JDL Misc Income'!F58&lt;&gt;"",'JDL Misc Income'!F58*'JDL PROCESSING FEES MASTER'!F$14,""))&gt;'JDL PROCESSING FEES MASTER'!G$8,'JDL PROCESSING FEES MASTER'!G$8,IF(G58="Fresh",IF('JDL Misc Income'!F58&lt;&gt;"",'JDL Misc Income'!F58*'JDL PROCESSING FEES MASTER'!F$10,""),IF('JDL Misc Income'!F58&lt;&gt;"",'JDL Misc Income'!F58*'JDL PROCESSING FEES MASTER'!F$14,""))),"")</f>
        <v/>
      </c>
      <c r="J58" s="20" t="str">
        <f t="shared" si="0"/>
        <v/>
      </c>
    </row>
    <row r="59" spans="1:10" ht="38.25" customHeight="1" x14ac:dyDescent="0.3">
      <c r="A59" s="1">
        <v>54</v>
      </c>
      <c r="B59" s="15" t="str">
        <f>IF('[1]Main Sheet'!C58="","",358)</f>
        <v/>
      </c>
      <c r="C59" s="16" t="str">
        <f>IF('[1]Main Sheet'!C58="","",'[1]Main Sheet'!C58)</f>
        <v/>
      </c>
      <c r="D59" s="17" t="str">
        <f>IF('[1]Main Sheet'!D58="","",'[1]Main Sheet'!D58)</f>
        <v/>
      </c>
      <c r="E59" s="15" t="str">
        <f>IF('[1]Main Sheet'!E58="","",'[1]Main Sheet'!E58)</f>
        <v/>
      </c>
      <c r="F59" s="15" t="str">
        <f>IF('[1]Main Sheet'!I58="","",'[1]Main Sheet'!I58)</f>
        <v/>
      </c>
      <c r="G59" s="15" t="str">
        <f>IF('[1]Main Sheet'!L58="","",'[1]Main Sheet'!L58)</f>
        <v>Fresh</v>
      </c>
      <c r="H59" s="20" t="str">
        <f>IF(F59&lt;&gt;"",IF(IF(G59="Fresh",IF('JDL Misc Income'!F59&lt;&gt;"",'JDL Misc Income'!F59*'JDL PROCESSING FEES MASTER'!F$10,""),IF('JDL Misc Income'!F59&lt;&gt;"",'JDL Misc Income'!F59*'JDL PROCESSING FEES MASTER'!F$14,""))&gt;'JDL PROCESSING FEES MASTER'!G$10,'JDL PROCESSING FEES MASTER'!G$10,IF(G59="Fresh",IF('JDL Misc Income'!F59&lt;&gt;"",'JDL Misc Income'!F59*'JDL PROCESSING FEES MASTER'!F$10,""),IF('JDL Misc Income'!F59&lt;&gt;"",'JDL Misc Income'!F59*'JDL PROCESSING FEES MASTER'!F$14,""))),"")</f>
        <v/>
      </c>
      <c r="I59" s="20" t="str">
        <f>IF(F59&lt;&gt;"",IF(IF(G59="Fresh",IF('JDL Misc Income'!F59&lt;&gt;"",'JDL Misc Income'!F59*'JDL PROCESSING FEES MASTER'!F$10,""),IF('JDL Misc Income'!F59&lt;&gt;"",'JDL Misc Income'!F59*'JDL PROCESSING FEES MASTER'!F$14,""))&gt;'JDL PROCESSING FEES MASTER'!G$8,'JDL PROCESSING FEES MASTER'!G$8,IF(G59="Fresh",IF('JDL Misc Income'!F59&lt;&gt;"",'JDL Misc Income'!F59*'JDL PROCESSING FEES MASTER'!F$10,""),IF('JDL Misc Income'!F59&lt;&gt;"",'JDL Misc Income'!F59*'JDL PROCESSING FEES MASTER'!F$14,""))),"")</f>
        <v/>
      </c>
      <c r="J59" s="20" t="str">
        <f t="shared" si="0"/>
        <v/>
      </c>
    </row>
    <row r="60" spans="1:10" ht="38.25" customHeight="1" x14ac:dyDescent="0.3">
      <c r="A60" s="1">
        <v>55</v>
      </c>
      <c r="B60" s="15" t="str">
        <f>IF('[1]Main Sheet'!C59="","",358)</f>
        <v/>
      </c>
      <c r="C60" s="16" t="str">
        <f>IF('[1]Main Sheet'!C59="","",'[1]Main Sheet'!C59)</f>
        <v/>
      </c>
      <c r="D60" s="17" t="str">
        <f>IF('[1]Main Sheet'!D59="","",'[1]Main Sheet'!D59)</f>
        <v/>
      </c>
      <c r="E60" s="15" t="str">
        <f>IF('[1]Main Sheet'!E59="","",'[1]Main Sheet'!E59)</f>
        <v/>
      </c>
      <c r="F60" s="15" t="str">
        <f>IF('[1]Main Sheet'!I59="","",'[1]Main Sheet'!I59)</f>
        <v/>
      </c>
      <c r="G60" s="15" t="str">
        <f>IF('[1]Main Sheet'!L59="","",'[1]Main Sheet'!L59)</f>
        <v>Fresh</v>
      </c>
      <c r="H60" s="20" t="str">
        <f>IF(F60&lt;&gt;"",IF(IF(G60="Fresh",IF('JDL Misc Income'!F60&lt;&gt;"",'JDL Misc Income'!F60*'JDL PROCESSING FEES MASTER'!F$10,""),IF('JDL Misc Income'!F60&lt;&gt;"",'JDL Misc Income'!F60*'JDL PROCESSING FEES MASTER'!F$14,""))&gt;'JDL PROCESSING FEES MASTER'!G$10,'JDL PROCESSING FEES MASTER'!G$10,IF(G60="Fresh",IF('JDL Misc Income'!F60&lt;&gt;"",'JDL Misc Income'!F60*'JDL PROCESSING FEES MASTER'!F$10,""),IF('JDL Misc Income'!F60&lt;&gt;"",'JDL Misc Income'!F60*'JDL PROCESSING FEES MASTER'!F$14,""))),"")</f>
        <v/>
      </c>
      <c r="I60" s="20" t="str">
        <f>IF(F60&lt;&gt;"",IF(IF(G60="Fresh",IF('JDL Misc Income'!F60&lt;&gt;"",'JDL Misc Income'!F60*'JDL PROCESSING FEES MASTER'!F$10,""),IF('JDL Misc Income'!F60&lt;&gt;"",'JDL Misc Income'!F60*'JDL PROCESSING FEES MASTER'!F$14,""))&gt;'JDL PROCESSING FEES MASTER'!G$8,'JDL PROCESSING FEES MASTER'!G$8,IF(G60="Fresh",IF('JDL Misc Income'!F60&lt;&gt;"",'JDL Misc Income'!F60*'JDL PROCESSING FEES MASTER'!F$10,""),IF('JDL Misc Income'!F60&lt;&gt;"",'JDL Misc Income'!F60*'JDL PROCESSING FEES MASTER'!F$14,""))),"")</f>
        <v/>
      </c>
      <c r="J60" s="20" t="str">
        <f t="shared" si="0"/>
        <v/>
      </c>
    </row>
    <row r="61" spans="1:10" ht="38.25" customHeight="1" x14ac:dyDescent="0.3">
      <c r="A61" s="1">
        <v>56</v>
      </c>
      <c r="B61" s="15" t="str">
        <f>IF('[1]Main Sheet'!C60="","",358)</f>
        <v/>
      </c>
      <c r="C61" s="16" t="str">
        <f>IF('[1]Main Sheet'!C60="","",'[1]Main Sheet'!C60)</f>
        <v/>
      </c>
      <c r="D61" s="17" t="str">
        <f>IF('[1]Main Sheet'!D60="","",'[1]Main Sheet'!D60)</f>
        <v/>
      </c>
      <c r="E61" s="15" t="str">
        <f>IF('[1]Main Sheet'!E60="","",'[1]Main Sheet'!E60)</f>
        <v/>
      </c>
      <c r="F61" s="15" t="str">
        <f>IF('[1]Main Sheet'!I60="","",'[1]Main Sheet'!I60)</f>
        <v/>
      </c>
      <c r="G61" s="15" t="str">
        <f>IF('[1]Main Sheet'!L60="","",'[1]Main Sheet'!L60)</f>
        <v>Fresh</v>
      </c>
      <c r="H61" s="20" t="str">
        <f>IF(F61&lt;&gt;"",IF(IF(G61="Fresh",IF('JDL Misc Income'!F61&lt;&gt;"",'JDL Misc Income'!F61*'JDL PROCESSING FEES MASTER'!F$10,""),IF('JDL Misc Income'!F61&lt;&gt;"",'JDL Misc Income'!F61*'JDL PROCESSING FEES MASTER'!F$14,""))&gt;'JDL PROCESSING FEES MASTER'!G$10,'JDL PROCESSING FEES MASTER'!G$10,IF(G61="Fresh",IF('JDL Misc Income'!F61&lt;&gt;"",'JDL Misc Income'!F61*'JDL PROCESSING FEES MASTER'!F$10,""),IF('JDL Misc Income'!F61&lt;&gt;"",'JDL Misc Income'!F61*'JDL PROCESSING FEES MASTER'!F$14,""))),"")</f>
        <v/>
      </c>
      <c r="I61" s="20" t="str">
        <f>IF(F61&lt;&gt;"",IF(IF(G61="Fresh",IF('JDL Misc Income'!F61&lt;&gt;"",'JDL Misc Income'!F61*'JDL PROCESSING FEES MASTER'!F$10,""),IF('JDL Misc Income'!F61&lt;&gt;"",'JDL Misc Income'!F61*'JDL PROCESSING FEES MASTER'!F$14,""))&gt;'JDL PROCESSING FEES MASTER'!G$8,'JDL PROCESSING FEES MASTER'!G$8,IF(G61="Fresh",IF('JDL Misc Income'!F61&lt;&gt;"",'JDL Misc Income'!F61*'JDL PROCESSING FEES MASTER'!F$10,""),IF('JDL Misc Income'!F61&lt;&gt;"",'JDL Misc Income'!F61*'JDL PROCESSING FEES MASTER'!F$14,""))),"")</f>
        <v/>
      </c>
      <c r="J61" s="20" t="str">
        <f t="shared" si="0"/>
        <v/>
      </c>
    </row>
    <row r="62" spans="1:10" ht="38.25" customHeight="1" x14ac:dyDescent="0.3">
      <c r="A62" s="1">
        <v>57</v>
      </c>
      <c r="B62" s="15" t="str">
        <f>IF('[1]Main Sheet'!C61="","",358)</f>
        <v/>
      </c>
      <c r="C62" s="16" t="str">
        <f>IF('[1]Main Sheet'!C61="","",'[1]Main Sheet'!C61)</f>
        <v/>
      </c>
      <c r="D62" s="17" t="str">
        <f>IF('[1]Main Sheet'!D61="","",'[1]Main Sheet'!D61)</f>
        <v/>
      </c>
      <c r="E62" s="15" t="str">
        <f>IF('[1]Main Sheet'!E61="","",'[1]Main Sheet'!E61)</f>
        <v/>
      </c>
      <c r="F62" s="15" t="str">
        <f>IF('[1]Main Sheet'!I61="","",'[1]Main Sheet'!I61)</f>
        <v/>
      </c>
      <c r="G62" s="15" t="str">
        <f>IF('[1]Main Sheet'!L61="","",'[1]Main Sheet'!L61)</f>
        <v>Fresh</v>
      </c>
      <c r="H62" s="20" t="str">
        <f>IF(F62&lt;&gt;"",IF(IF(G62="Fresh",IF('JDL Misc Income'!F62&lt;&gt;"",'JDL Misc Income'!F62*'JDL PROCESSING FEES MASTER'!F$10,""),IF('JDL Misc Income'!F62&lt;&gt;"",'JDL Misc Income'!F62*'JDL PROCESSING FEES MASTER'!F$14,""))&gt;'JDL PROCESSING FEES MASTER'!G$10,'JDL PROCESSING FEES MASTER'!G$10,IF(G62="Fresh",IF('JDL Misc Income'!F62&lt;&gt;"",'JDL Misc Income'!F62*'JDL PROCESSING FEES MASTER'!F$10,""),IF('JDL Misc Income'!F62&lt;&gt;"",'JDL Misc Income'!F62*'JDL PROCESSING FEES MASTER'!F$14,""))),"")</f>
        <v/>
      </c>
      <c r="I62" s="20" t="str">
        <f>IF(F62&lt;&gt;"",IF(IF(G62="Fresh",IF('JDL Misc Income'!F62&lt;&gt;"",'JDL Misc Income'!F62*'JDL PROCESSING FEES MASTER'!F$10,""),IF('JDL Misc Income'!F62&lt;&gt;"",'JDL Misc Income'!F62*'JDL PROCESSING FEES MASTER'!F$14,""))&gt;'JDL PROCESSING FEES MASTER'!G$8,'JDL PROCESSING FEES MASTER'!G$8,IF(G62="Fresh",IF('JDL Misc Income'!F62&lt;&gt;"",'JDL Misc Income'!F62*'JDL PROCESSING FEES MASTER'!F$10,""),IF('JDL Misc Income'!F62&lt;&gt;"",'JDL Misc Income'!F62*'JDL PROCESSING FEES MASTER'!F$14,""))),"")</f>
        <v/>
      </c>
      <c r="J62" s="20" t="str">
        <f t="shared" si="0"/>
        <v/>
      </c>
    </row>
    <row r="63" spans="1:10" ht="38.25" customHeight="1" x14ac:dyDescent="0.3">
      <c r="A63" s="1">
        <v>58</v>
      </c>
      <c r="B63" s="15" t="str">
        <f>IF('[1]Main Sheet'!C62="","",358)</f>
        <v/>
      </c>
      <c r="C63" s="16" t="str">
        <f>IF('[1]Main Sheet'!C62="","",'[1]Main Sheet'!C62)</f>
        <v/>
      </c>
      <c r="D63" s="17" t="str">
        <f>IF('[1]Main Sheet'!D62="","",'[1]Main Sheet'!D62)</f>
        <v/>
      </c>
      <c r="E63" s="15" t="str">
        <f>IF('[1]Main Sheet'!E62="","",'[1]Main Sheet'!E62)</f>
        <v/>
      </c>
      <c r="F63" s="15" t="str">
        <f>IF('[1]Main Sheet'!I62="","",'[1]Main Sheet'!I62)</f>
        <v/>
      </c>
      <c r="G63" s="15" t="str">
        <f>IF('[1]Main Sheet'!L62="","",'[1]Main Sheet'!L62)</f>
        <v>Fresh</v>
      </c>
      <c r="H63" s="20" t="str">
        <f>IF(F63&lt;&gt;"",IF(IF(G63="Fresh",IF('JDL Misc Income'!F63&lt;&gt;"",'JDL Misc Income'!F63*'JDL PROCESSING FEES MASTER'!F$10,""),IF('JDL Misc Income'!F63&lt;&gt;"",'JDL Misc Income'!F63*'JDL PROCESSING FEES MASTER'!F$14,""))&gt;'JDL PROCESSING FEES MASTER'!G$10,'JDL PROCESSING FEES MASTER'!G$10,IF(G63="Fresh",IF('JDL Misc Income'!F63&lt;&gt;"",'JDL Misc Income'!F63*'JDL PROCESSING FEES MASTER'!F$10,""),IF('JDL Misc Income'!F63&lt;&gt;"",'JDL Misc Income'!F63*'JDL PROCESSING FEES MASTER'!F$14,""))),"")</f>
        <v/>
      </c>
      <c r="I63" s="20" t="str">
        <f>IF(F63&lt;&gt;"",IF(IF(G63="Fresh",IF('JDL Misc Income'!F63&lt;&gt;"",'JDL Misc Income'!F63*'JDL PROCESSING FEES MASTER'!F$10,""),IF('JDL Misc Income'!F63&lt;&gt;"",'JDL Misc Income'!F63*'JDL PROCESSING FEES MASTER'!F$14,""))&gt;'JDL PROCESSING FEES MASTER'!G$8,'JDL PROCESSING FEES MASTER'!G$8,IF(G63="Fresh",IF('JDL Misc Income'!F63&lt;&gt;"",'JDL Misc Income'!F63*'JDL PROCESSING FEES MASTER'!F$10,""),IF('JDL Misc Income'!F63&lt;&gt;"",'JDL Misc Income'!F63*'JDL PROCESSING FEES MASTER'!F$14,""))),"")</f>
        <v/>
      </c>
      <c r="J63" s="20" t="str">
        <f t="shared" si="0"/>
        <v/>
      </c>
    </row>
    <row r="64" spans="1:10" ht="38.25" customHeight="1" x14ac:dyDescent="0.3">
      <c r="A64" s="1">
        <v>59</v>
      </c>
      <c r="B64" s="15" t="str">
        <f>IF('[1]Main Sheet'!C63="","",358)</f>
        <v/>
      </c>
      <c r="C64" s="16" t="str">
        <f>IF('[1]Main Sheet'!C63="","",'[1]Main Sheet'!C63)</f>
        <v/>
      </c>
      <c r="D64" s="17" t="str">
        <f>IF('[1]Main Sheet'!D63="","",'[1]Main Sheet'!D63)</f>
        <v/>
      </c>
      <c r="E64" s="15" t="str">
        <f>IF('[1]Main Sheet'!E63="","",'[1]Main Sheet'!E63)</f>
        <v/>
      </c>
      <c r="F64" s="15" t="str">
        <f>IF('[1]Main Sheet'!I63="","",'[1]Main Sheet'!I63)</f>
        <v/>
      </c>
      <c r="G64" s="15" t="str">
        <f>IF('[1]Main Sheet'!L63="","",'[1]Main Sheet'!L63)</f>
        <v>Fresh</v>
      </c>
      <c r="H64" s="20" t="str">
        <f>IF(F64&lt;&gt;"",IF(IF(G64="Fresh",IF('JDL Misc Income'!F64&lt;&gt;"",'JDL Misc Income'!F64*'JDL PROCESSING FEES MASTER'!F$10,""),IF('JDL Misc Income'!F64&lt;&gt;"",'JDL Misc Income'!F64*'JDL PROCESSING FEES MASTER'!F$14,""))&gt;'JDL PROCESSING FEES MASTER'!G$10,'JDL PROCESSING FEES MASTER'!G$10,IF(G64="Fresh",IF('JDL Misc Income'!F64&lt;&gt;"",'JDL Misc Income'!F64*'JDL PROCESSING FEES MASTER'!F$10,""),IF('JDL Misc Income'!F64&lt;&gt;"",'JDL Misc Income'!F64*'JDL PROCESSING FEES MASTER'!F$14,""))),"")</f>
        <v/>
      </c>
      <c r="I64" s="20" t="str">
        <f>IF(F64&lt;&gt;"",IF(IF(G64="Fresh",IF('JDL Misc Income'!F64&lt;&gt;"",'JDL Misc Income'!F64*'JDL PROCESSING FEES MASTER'!F$10,""),IF('JDL Misc Income'!F64&lt;&gt;"",'JDL Misc Income'!F64*'JDL PROCESSING FEES MASTER'!F$14,""))&gt;'JDL PROCESSING FEES MASTER'!G$8,'JDL PROCESSING FEES MASTER'!G$8,IF(G64="Fresh",IF('JDL Misc Income'!F64&lt;&gt;"",'JDL Misc Income'!F64*'JDL PROCESSING FEES MASTER'!F$10,""),IF('JDL Misc Income'!F64&lt;&gt;"",'JDL Misc Income'!F64*'JDL PROCESSING FEES MASTER'!F$14,""))),"")</f>
        <v/>
      </c>
      <c r="J64" s="20" t="str">
        <f t="shared" si="0"/>
        <v/>
      </c>
    </row>
    <row r="65" spans="1:10" ht="38.25" customHeight="1" x14ac:dyDescent="0.3">
      <c r="A65" s="1">
        <v>60</v>
      </c>
      <c r="B65" s="15" t="str">
        <f>IF('[1]Main Sheet'!C64="","",358)</f>
        <v/>
      </c>
      <c r="C65" s="16" t="str">
        <f>IF('[1]Main Sheet'!C64="","",'[1]Main Sheet'!C64)</f>
        <v/>
      </c>
      <c r="D65" s="17" t="str">
        <f>IF('[1]Main Sheet'!D64="","",'[1]Main Sheet'!D64)</f>
        <v/>
      </c>
      <c r="E65" s="15" t="str">
        <f>IF('[1]Main Sheet'!E64="","",'[1]Main Sheet'!E64)</f>
        <v/>
      </c>
      <c r="F65" s="15" t="str">
        <f>IF('[1]Main Sheet'!I64="","",'[1]Main Sheet'!I64)</f>
        <v/>
      </c>
      <c r="G65" s="15" t="str">
        <f>IF('[1]Main Sheet'!L64="","",'[1]Main Sheet'!L64)</f>
        <v>Fresh</v>
      </c>
      <c r="H65" s="20" t="str">
        <f>IF(F65&lt;&gt;"",IF(IF(G65="Fresh",IF('JDL Misc Income'!F65&lt;&gt;"",'JDL Misc Income'!F65*'JDL PROCESSING FEES MASTER'!F$10,""),IF('JDL Misc Income'!F65&lt;&gt;"",'JDL Misc Income'!F65*'JDL PROCESSING FEES MASTER'!F$14,""))&gt;'JDL PROCESSING FEES MASTER'!G$10,'JDL PROCESSING FEES MASTER'!G$10,IF(G65="Fresh",IF('JDL Misc Income'!F65&lt;&gt;"",'JDL Misc Income'!F65*'JDL PROCESSING FEES MASTER'!F$10,""),IF('JDL Misc Income'!F65&lt;&gt;"",'JDL Misc Income'!F65*'JDL PROCESSING FEES MASTER'!F$14,""))),"")</f>
        <v/>
      </c>
      <c r="I65" s="20" t="str">
        <f>IF(F65&lt;&gt;"",IF(IF(G65="Fresh",IF('JDL Misc Income'!F65&lt;&gt;"",'JDL Misc Income'!F65*'JDL PROCESSING FEES MASTER'!F$10,""),IF('JDL Misc Income'!F65&lt;&gt;"",'JDL Misc Income'!F65*'JDL PROCESSING FEES MASTER'!F$14,""))&gt;'JDL PROCESSING FEES MASTER'!G$8,'JDL PROCESSING FEES MASTER'!G$8,IF(G65="Fresh",IF('JDL Misc Income'!F65&lt;&gt;"",'JDL Misc Income'!F65*'JDL PROCESSING FEES MASTER'!F$10,""),IF('JDL Misc Income'!F65&lt;&gt;"",'JDL Misc Income'!F65*'JDL PROCESSING FEES MASTER'!F$14,""))),"")</f>
        <v/>
      </c>
      <c r="J65" s="20" t="str">
        <f t="shared" si="0"/>
        <v/>
      </c>
    </row>
    <row r="66" spans="1:10" ht="38.25" customHeight="1" x14ac:dyDescent="0.3">
      <c r="A66" s="1">
        <v>61</v>
      </c>
      <c r="B66" s="15" t="str">
        <f>IF('[1]Main Sheet'!C65="","",358)</f>
        <v/>
      </c>
      <c r="C66" s="16" t="str">
        <f>IF('[1]Main Sheet'!C65="","",'[1]Main Sheet'!C65)</f>
        <v/>
      </c>
      <c r="D66" s="17" t="str">
        <f>IF('[1]Main Sheet'!D65="","",'[1]Main Sheet'!D65)</f>
        <v/>
      </c>
      <c r="E66" s="15" t="str">
        <f>IF('[1]Main Sheet'!E65="","",'[1]Main Sheet'!E65)</f>
        <v/>
      </c>
      <c r="F66" s="15" t="str">
        <f>IF('[1]Main Sheet'!I65="","",'[1]Main Sheet'!I65)</f>
        <v/>
      </c>
      <c r="G66" s="15" t="str">
        <f>IF('[1]Main Sheet'!L65="","",'[1]Main Sheet'!L65)</f>
        <v>Fresh</v>
      </c>
      <c r="H66" s="20" t="str">
        <f>IF(F66&lt;&gt;"",IF(IF(G66="Fresh",IF('JDL Misc Income'!F66&lt;&gt;"",'JDL Misc Income'!F66*'JDL PROCESSING FEES MASTER'!F$10,""),IF('JDL Misc Income'!F66&lt;&gt;"",'JDL Misc Income'!F66*'JDL PROCESSING FEES MASTER'!F$14,""))&gt;'JDL PROCESSING FEES MASTER'!G$10,'JDL PROCESSING FEES MASTER'!G$10,IF(G66="Fresh",IF('JDL Misc Income'!F66&lt;&gt;"",'JDL Misc Income'!F66*'JDL PROCESSING FEES MASTER'!F$10,""),IF('JDL Misc Income'!F66&lt;&gt;"",'JDL Misc Income'!F66*'JDL PROCESSING FEES MASTER'!F$14,""))),"")</f>
        <v/>
      </c>
      <c r="I66" s="20" t="str">
        <f>IF(F66&lt;&gt;"",IF(IF(G66="Fresh",IF('JDL Misc Income'!F66&lt;&gt;"",'JDL Misc Income'!F66*'JDL PROCESSING FEES MASTER'!F$10,""),IF('JDL Misc Income'!F66&lt;&gt;"",'JDL Misc Income'!F66*'JDL PROCESSING FEES MASTER'!F$14,""))&gt;'JDL PROCESSING FEES MASTER'!G$8,'JDL PROCESSING FEES MASTER'!G$8,IF(G66="Fresh",IF('JDL Misc Income'!F66&lt;&gt;"",'JDL Misc Income'!F66*'JDL PROCESSING FEES MASTER'!F$10,""),IF('JDL Misc Income'!F66&lt;&gt;"",'JDL Misc Income'!F66*'JDL PROCESSING FEES MASTER'!F$14,""))),"")</f>
        <v/>
      </c>
      <c r="J66" s="20" t="str">
        <f t="shared" si="0"/>
        <v/>
      </c>
    </row>
    <row r="67" spans="1:10" ht="38.25" customHeight="1" x14ac:dyDescent="0.3">
      <c r="A67" s="1">
        <v>62</v>
      </c>
      <c r="B67" s="15" t="str">
        <f>IF('[1]Main Sheet'!C66="","",358)</f>
        <v/>
      </c>
      <c r="C67" s="16" t="str">
        <f>IF('[1]Main Sheet'!C66="","",'[1]Main Sheet'!C66)</f>
        <v/>
      </c>
      <c r="D67" s="17" t="str">
        <f>IF('[1]Main Sheet'!D66="","",'[1]Main Sheet'!D66)</f>
        <v/>
      </c>
      <c r="E67" s="15" t="str">
        <f>IF('[1]Main Sheet'!E66="","",'[1]Main Sheet'!E66)</f>
        <v/>
      </c>
      <c r="F67" s="15" t="str">
        <f>IF('[1]Main Sheet'!I66="","",'[1]Main Sheet'!I66)</f>
        <v/>
      </c>
      <c r="G67" s="15" t="str">
        <f>IF('[1]Main Sheet'!L66="","",'[1]Main Sheet'!L66)</f>
        <v/>
      </c>
      <c r="H67" s="20" t="str">
        <f>IF(F67&lt;&gt;"",IF(IF(G67="Fresh",IF('JDL Misc Income'!F67&lt;&gt;"",'JDL Misc Income'!F67*'JDL PROCESSING FEES MASTER'!F$10,""),IF('JDL Misc Income'!F67&lt;&gt;"",'JDL Misc Income'!F67*'JDL PROCESSING FEES MASTER'!F$14,""))&gt;'JDL PROCESSING FEES MASTER'!G$10,'JDL PROCESSING FEES MASTER'!G$10,IF(G67="Fresh",IF('JDL Misc Income'!F67&lt;&gt;"",'JDL Misc Income'!F67*'JDL PROCESSING FEES MASTER'!F$10,""),IF('JDL Misc Income'!F67&lt;&gt;"",'JDL Misc Income'!F67*'JDL PROCESSING FEES MASTER'!F$14,""))),"")</f>
        <v/>
      </c>
      <c r="I67" s="20" t="str">
        <f>IF(F67&lt;&gt;"",IF(IF(G67="Fresh",IF('JDL Misc Income'!F67&lt;&gt;"",'JDL Misc Income'!F67*'JDL PROCESSING FEES MASTER'!F$10,""),IF('JDL Misc Income'!F67&lt;&gt;"",'JDL Misc Income'!F67*'JDL PROCESSING FEES MASTER'!F$14,""))&gt;'JDL PROCESSING FEES MASTER'!G$8,'JDL PROCESSING FEES MASTER'!G$8,IF(G67="Fresh",IF('JDL Misc Income'!F67&lt;&gt;"",'JDL Misc Income'!F67*'JDL PROCESSING FEES MASTER'!F$10,""),IF('JDL Misc Income'!F67&lt;&gt;"",'JDL Misc Income'!F67*'JDL PROCESSING FEES MASTER'!F$14,""))),"")</f>
        <v/>
      </c>
      <c r="J67" s="20" t="str">
        <f t="shared" si="0"/>
        <v/>
      </c>
    </row>
    <row r="68" spans="1:10" ht="38.25" customHeight="1" x14ac:dyDescent="0.3">
      <c r="A68" s="1">
        <v>63</v>
      </c>
      <c r="B68" s="15" t="str">
        <f>IF('[1]Main Sheet'!C67="","",358)</f>
        <v/>
      </c>
      <c r="C68" s="16" t="str">
        <f>IF('[1]Main Sheet'!C67="","",'[1]Main Sheet'!C67)</f>
        <v/>
      </c>
      <c r="D68" s="17" t="str">
        <f>IF('[1]Main Sheet'!D67="","",'[1]Main Sheet'!D67)</f>
        <v/>
      </c>
      <c r="E68" s="15" t="str">
        <f>IF('[1]Main Sheet'!E67="","",'[1]Main Sheet'!E67)</f>
        <v/>
      </c>
      <c r="F68" s="15" t="str">
        <f>IF('[1]Main Sheet'!I67="","",'[1]Main Sheet'!I67)</f>
        <v/>
      </c>
      <c r="G68" s="15" t="str">
        <f>IF('[1]Main Sheet'!L67="","",'[1]Main Sheet'!L67)</f>
        <v/>
      </c>
      <c r="H68" s="20" t="str">
        <f>IF(F68&lt;&gt;"",IF(IF(G68="Fresh",IF('JDL Misc Income'!F68&lt;&gt;"",'JDL Misc Income'!F68*'JDL PROCESSING FEES MASTER'!F$10,""),IF('JDL Misc Income'!F68&lt;&gt;"",'JDL Misc Income'!F68*'JDL PROCESSING FEES MASTER'!F$14,""))&gt;'JDL PROCESSING FEES MASTER'!G$10,'JDL PROCESSING FEES MASTER'!G$10,IF(G68="Fresh",IF('JDL Misc Income'!F68&lt;&gt;"",'JDL Misc Income'!F68*'JDL PROCESSING FEES MASTER'!F$10,""),IF('JDL Misc Income'!F68&lt;&gt;"",'JDL Misc Income'!F68*'JDL PROCESSING FEES MASTER'!F$14,""))),"")</f>
        <v/>
      </c>
      <c r="I68" s="20" t="str">
        <f>IF(F68&lt;&gt;"",IF(IF(G68="Fresh",IF('JDL Misc Income'!F68&lt;&gt;"",'JDL Misc Income'!F68*'JDL PROCESSING FEES MASTER'!F$10,""),IF('JDL Misc Income'!F68&lt;&gt;"",'JDL Misc Income'!F68*'JDL PROCESSING FEES MASTER'!F$14,""))&gt;'JDL PROCESSING FEES MASTER'!G$8,'JDL PROCESSING FEES MASTER'!G$8,IF(G68="Fresh",IF('JDL Misc Income'!F68&lt;&gt;"",'JDL Misc Income'!F68*'JDL PROCESSING FEES MASTER'!F$10,""),IF('JDL Misc Income'!F68&lt;&gt;"",'JDL Misc Income'!F68*'JDL PROCESSING FEES MASTER'!F$14,""))),"")</f>
        <v/>
      </c>
      <c r="J68" s="20" t="str">
        <f t="shared" si="0"/>
        <v/>
      </c>
    </row>
    <row r="69" spans="1:10" ht="38.25" customHeight="1" x14ac:dyDescent="0.3">
      <c r="A69" s="1">
        <v>64</v>
      </c>
      <c r="B69" s="15" t="str">
        <f>IF('[1]Main Sheet'!C68="","",358)</f>
        <v/>
      </c>
      <c r="C69" s="16" t="str">
        <f>IF('[1]Main Sheet'!C68="","",'[1]Main Sheet'!C68)</f>
        <v/>
      </c>
      <c r="D69" s="17" t="str">
        <f>IF('[1]Main Sheet'!D68="","",'[1]Main Sheet'!D68)</f>
        <v/>
      </c>
      <c r="E69" s="15" t="str">
        <f>IF('[1]Main Sheet'!E68="","",'[1]Main Sheet'!E68)</f>
        <v/>
      </c>
      <c r="F69" s="15" t="str">
        <f>IF('[1]Main Sheet'!I68="","",'[1]Main Sheet'!I68)</f>
        <v/>
      </c>
      <c r="G69" s="15" t="str">
        <f>IF('[1]Main Sheet'!L68="","",'[1]Main Sheet'!L68)</f>
        <v/>
      </c>
      <c r="H69" s="20" t="str">
        <f>IF(F69&lt;&gt;"",IF(IF(G69="Fresh",IF('JDL Misc Income'!F69&lt;&gt;"",'JDL Misc Income'!F69*'JDL PROCESSING FEES MASTER'!F$10,""),IF('JDL Misc Income'!F69&lt;&gt;"",'JDL Misc Income'!F69*'JDL PROCESSING FEES MASTER'!F$14,""))&gt;'JDL PROCESSING FEES MASTER'!G$10,'JDL PROCESSING FEES MASTER'!G$10,IF(G69="Fresh",IF('JDL Misc Income'!F69&lt;&gt;"",'JDL Misc Income'!F69*'JDL PROCESSING FEES MASTER'!F$10,""),IF('JDL Misc Income'!F69&lt;&gt;"",'JDL Misc Income'!F69*'JDL PROCESSING FEES MASTER'!F$14,""))),"")</f>
        <v/>
      </c>
      <c r="I69" s="20" t="str">
        <f>IF(F69&lt;&gt;"",IF(IF(G69="Fresh",IF('JDL Misc Income'!F69&lt;&gt;"",'JDL Misc Income'!F69*'JDL PROCESSING FEES MASTER'!F$10,""),IF('JDL Misc Income'!F69&lt;&gt;"",'JDL Misc Income'!F69*'JDL PROCESSING FEES MASTER'!F$14,""))&gt;'JDL PROCESSING FEES MASTER'!G$8,'JDL PROCESSING FEES MASTER'!G$8,IF(G69="Fresh",IF('JDL Misc Income'!F69&lt;&gt;"",'JDL Misc Income'!F69*'JDL PROCESSING FEES MASTER'!F$10,""),IF('JDL Misc Income'!F69&lt;&gt;"",'JDL Misc Income'!F69*'JDL PROCESSING FEES MASTER'!F$14,""))),"")</f>
        <v/>
      </c>
      <c r="J69" s="20" t="str">
        <f t="shared" si="0"/>
        <v/>
      </c>
    </row>
    <row r="70" spans="1:10" ht="38.25" customHeight="1" x14ac:dyDescent="0.3">
      <c r="A70" s="1">
        <v>65</v>
      </c>
      <c r="B70" s="15" t="str">
        <f>IF('[1]Main Sheet'!C69="","",358)</f>
        <v/>
      </c>
      <c r="C70" s="16" t="str">
        <f>IF('[1]Main Sheet'!C69="","",'[1]Main Sheet'!C69)</f>
        <v/>
      </c>
      <c r="D70" s="17" t="str">
        <f>IF('[1]Main Sheet'!D69="","",'[1]Main Sheet'!D69)</f>
        <v/>
      </c>
      <c r="E70" s="15" t="str">
        <f>IF('[1]Main Sheet'!E69="","",'[1]Main Sheet'!E69)</f>
        <v/>
      </c>
      <c r="F70" s="15" t="str">
        <f>IF('[1]Main Sheet'!I69="","",'[1]Main Sheet'!I69)</f>
        <v/>
      </c>
      <c r="G70" s="15" t="str">
        <f>IF('[1]Main Sheet'!L69="","",'[1]Main Sheet'!L69)</f>
        <v/>
      </c>
      <c r="H70" s="20" t="str">
        <f>IF(F70&lt;&gt;"",IF(IF(G70="Fresh",IF('JDL Misc Income'!F70&lt;&gt;"",'JDL Misc Income'!F70*'JDL PROCESSING FEES MASTER'!F$10,""),IF('JDL Misc Income'!F70&lt;&gt;"",'JDL Misc Income'!F70*'JDL PROCESSING FEES MASTER'!F$14,""))&gt;'JDL PROCESSING FEES MASTER'!G$10,'JDL PROCESSING FEES MASTER'!G$10,IF(G70="Fresh",IF('JDL Misc Income'!F70&lt;&gt;"",'JDL Misc Income'!F70*'JDL PROCESSING FEES MASTER'!F$10,""),IF('JDL Misc Income'!F70&lt;&gt;"",'JDL Misc Income'!F70*'JDL PROCESSING FEES MASTER'!F$14,""))),"")</f>
        <v/>
      </c>
      <c r="I70" s="20" t="str">
        <f>IF(F70&lt;&gt;"",IF(IF(G70="Fresh",IF('JDL Misc Income'!F70&lt;&gt;"",'JDL Misc Income'!F70*'JDL PROCESSING FEES MASTER'!F$10,""),IF('JDL Misc Income'!F70&lt;&gt;"",'JDL Misc Income'!F70*'JDL PROCESSING FEES MASTER'!F$14,""))&gt;'JDL PROCESSING FEES MASTER'!G$8,'JDL PROCESSING FEES MASTER'!G$8,IF(G70="Fresh",IF('JDL Misc Income'!F70&lt;&gt;"",'JDL Misc Income'!F70*'JDL PROCESSING FEES MASTER'!F$10,""),IF('JDL Misc Income'!F70&lt;&gt;"",'JDL Misc Income'!F70*'JDL PROCESSING FEES MASTER'!F$14,""))),"")</f>
        <v/>
      </c>
      <c r="J70" s="20" t="str">
        <f t="shared" si="0"/>
        <v/>
      </c>
    </row>
    <row r="71" spans="1:10" ht="38.25" customHeight="1" x14ac:dyDescent="0.3">
      <c r="A71" s="1">
        <v>66</v>
      </c>
      <c r="B71" s="15" t="str">
        <f>IF('[1]Main Sheet'!C70="","",358)</f>
        <v/>
      </c>
      <c r="C71" s="16" t="str">
        <f>IF('[1]Main Sheet'!C70="","",'[1]Main Sheet'!C70)</f>
        <v/>
      </c>
      <c r="D71" s="17" t="str">
        <f>IF('[1]Main Sheet'!D70="","",'[1]Main Sheet'!D70)</f>
        <v/>
      </c>
      <c r="E71" s="15" t="str">
        <f>IF('[1]Main Sheet'!E70="","",'[1]Main Sheet'!E70)</f>
        <v/>
      </c>
      <c r="F71" s="15" t="str">
        <f>IF('[1]Main Sheet'!I70="","",'[1]Main Sheet'!I70)</f>
        <v/>
      </c>
      <c r="G71" s="15" t="str">
        <f>IF('[1]Main Sheet'!L70="","",'[1]Main Sheet'!L70)</f>
        <v/>
      </c>
      <c r="H71" s="20" t="str">
        <f>IF(F71&lt;&gt;"",IF(IF(G71="Fresh",IF('JDL Misc Income'!F71&lt;&gt;"",'JDL Misc Income'!F71*'JDL PROCESSING FEES MASTER'!F$10,""),IF('JDL Misc Income'!F71&lt;&gt;"",'JDL Misc Income'!F71*'JDL PROCESSING FEES MASTER'!F$14,""))&gt;'JDL PROCESSING FEES MASTER'!G$10,'JDL PROCESSING FEES MASTER'!G$10,IF(G71="Fresh",IF('JDL Misc Income'!F71&lt;&gt;"",'JDL Misc Income'!F71*'JDL PROCESSING FEES MASTER'!F$10,""),IF('JDL Misc Income'!F71&lt;&gt;"",'JDL Misc Income'!F71*'JDL PROCESSING FEES MASTER'!F$14,""))),"")</f>
        <v/>
      </c>
      <c r="I71" s="20" t="str">
        <f>IF(F71&lt;&gt;"",IF(IF(G71="Fresh",IF('JDL Misc Income'!F71&lt;&gt;"",'JDL Misc Income'!F71*'JDL PROCESSING FEES MASTER'!F$10,""),IF('JDL Misc Income'!F71&lt;&gt;"",'JDL Misc Income'!F71*'JDL PROCESSING FEES MASTER'!F$14,""))&gt;'JDL PROCESSING FEES MASTER'!G$8,'JDL PROCESSING FEES MASTER'!G$8,IF(G71="Fresh",IF('JDL Misc Income'!F71&lt;&gt;"",'JDL Misc Income'!F71*'JDL PROCESSING FEES MASTER'!F$10,""),IF('JDL Misc Income'!F71&lt;&gt;"",'JDL Misc Income'!F71*'JDL PROCESSING FEES MASTER'!F$14,""))),"")</f>
        <v/>
      </c>
      <c r="J71" s="20" t="str">
        <f t="shared" ref="J71:J105" si="1">IF(AND(H71&lt;&gt;"",I71&lt;&gt;""),H71+I71,"")</f>
        <v/>
      </c>
    </row>
    <row r="72" spans="1:10" ht="38.25" customHeight="1" x14ac:dyDescent="0.3">
      <c r="A72" s="1">
        <v>67</v>
      </c>
      <c r="B72" s="15" t="str">
        <f>IF('[1]Main Sheet'!C71="","",358)</f>
        <v/>
      </c>
      <c r="C72" s="16" t="str">
        <f>IF('[1]Main Sheet'!C71="","",'[1]Main Sheet'!C71)</f>
        <v/>
      </c>
      <c r="D72" s="17" t="str">
        <f>IF('[1]Main Sheet'!D71="","",'[1]Main Sheet'!D71)</f>
        <v/>
      </c>
      <c r="E72" s="15" t="str">
        <f>IF('[1]Main Sheet'!E71="","",'[1]Main Sheet'!E71)</f>
        <v/>
      </c>
      <c r="F72" s="15" t="str">
        <f>IF('[1]Main Sheet'!I71="","",'[1]Main Sheet'!I71)</f>
        <v/>
      </c>
      <c r="G72" s="15" t="str">
        <f>IF('[1]Main Sheet'!L71="","",'[1]Main Sheet'!L71)</f>
        <v/>
      </c>
      <c r="H72" s="20" t="str">
        <f>IF(F72&lt;&gt;"",IF(IF(G72="Fresh",IF('JDL Misc Income'!F72&lt;&gt;"",'JDL Misc Income'!F72*'JDL PROCESSING FEES MASTER'!F$10,""),IF('JDL Misc Income'!F72&lt;&gt;"",'JDL Misc Income'!F72*'JDL PROCESSING FEES MASTER'!F$14,""))&gt;'JDL PROCESSING FEES MASTER'!G$10,'JDL PROCESSING FEES MASTER'!G$10,IF(G72="Fresh",IF('JDL Misc Income'!F72&lt;&gt;"",'JDL Misc Income'!F72*'JDL PROCESSING FEES MASTER'!F$10,""),IF('JDL Misc Income'!F72&lt;&gt;"",'JDL Misc Income'!F72*'JDL PROCESSING FEES MASTER'!F$14,""))),"")</f>
        <v/>
      </c>
      <c r="I72" s="20" t="str">
        <f>IF(F72&lt;&gt;"",IF(IF(G72="Fresh",IF('JDL Misc Income'!F72&lt;&gt;"",'JDL Misc Income'!F72*'JDL PROCESSING FEES MASTER'!F$10,""),IF('JDL Misc Income'!F72&lt;&gt;"",'JDL Misc Income'!F72*'JDL PROCESSING FEES MASTER'!F$14,""))&gt;'JDL PROCESSING FEES MASTER'!G$8,'JDL PROCESSING FEES MASTER'!G$8,IF(G72="Fresh",IF('JDL Misc Income'!F72&lt;&gt;"",'JDL Misc Income'!F72*'JDL PROCESSING FEES MASTER'!F$10,""),IF('JDL Misc Income'!F72&lt;&gt;"",'JDL Misc Income'!F72*'JDL PROCESSING FEES MASTER'!F$14,""))),"")</f>
        <v/>
      </c>
      <c r="J72" s="20" t="str">
        <f t="shared" si="1"/>
        <v/>
      </c>
    </row>
    <row r="73" spans="1:10" ht="38.25" customHeight="1" x14ac:dyDescent="0.3">
      <c r="A73" s="1">
        <v>68</v>
      </c>
      <c r="B73" s="15" t="str">
        <f>IF('[1]Main Sheet'!C72="","",358)</f>
        <v/>
      </c>
      <c r="C73" s="16" t="str">
        <f>IF('[1]Main Sheet'!C72="","",'[1]Main Sheet'!C72)</f>
        <v/>
      </c>
      <c r="D73" s="17" t="str">
        <f>IF('[1]Main Sheet'!D72="","",'[1]Main Sheet'!D72)</f>
        <v/>
      </c>
      <c r="E73" s="15" t="str">
        <f>IF('[1]Main Sheet'!E72="","",'[1]Main Sheet'!E72)</f>
        <v/>
      </c>
      <c r="F73" s="15" t="str">
        <f>IF('[1]Main Sheet'!I72="","",'[1]Main Sheet'!I72)</f>
        <v/>
      </c>
      <c r="G73" s="15" t="str">
        <f>IF('[1]Main Sheet'!L72="","",'[1]Main Sheet'!L72)</f>
        <v/>
      </c>
      <c r="H73" s="20" t="str">
        <f>IF(F73&lt;&gt;"",IF(IF(G73="Fresh",IF('JDL Misc Income'!F73&lt;&gt;"",'JDL Misc Income'!F73*'JDL PROCESSING FEES MASTER'!F$10,""),IF('JDL Misc Income'!F73&lt;&gt;"",'JDL Misc Income'!F73*'JDL PROCESSING FEES MASTER'!F$14,""))&gt;'JDL PROCESSING FEES MASTER'!G$10,'JDL PROCESSING FEES MASTER'!G$10,IF(G73="Fresh",IF('JDL Misc Income'!F73&lt;&gt;"",'JDL Misc Income'!F73*'JDL PROCESSING FEES MASTER'!F$10,""),IF('JDL Misc Income'!F73&lt;&gt;"",'JDL Misc Income'!F73*'JDL PROCESSING FEES MASTER'!F$14,""))),"")</f>
        <v/>
      </c>
      <c r="I73" s="20" t="str">
        <f>IF(F73&lt;&gt;"",IF(IF(G73="Fresh",IF('JDL Misc Income'!F73&lt;&gt;"",'JDL Misc Income'!F73*'JDL PROCESSING FEES MASTER'!F$10,""),IF('JDL Misc Income'!F73&lt;&gt;"",'JDL Misc Income'!F73*'JDL PROCESSING FEES MASTER'!F$14,""))&gt;'JDL PROCESSING FEES MASTER'!G$8,'JDL PROCESSING FEES MASTER'!G$8,IF(G73="Fresh",IF('JDL Misc Income'!F73&lt;&gt;"",'JDL Misc Income'!F73*'JDL PROCESSING FEES MASTER'!F$10,""),IF('JDL Misc Income'!F73&lt;&gt;"",'JDL Misc Income'!F73*'JDL PROCESSING FEES MASTER'!F$14,""))),"")</f>
        <v/>
      </c>
      <c r="J73" s="20" t="str">
        <f t="shared" si="1"/>
        <v/>
      </c>
    </row>
    <row r="74" spans="1:10" ht="38.25" customHeight="1" x14ac:dyDescent="0.3">
      <c r="A74" s="1">
        <v>69</v>
      </c>
      <c r="B74" s="15" t="str">
        <f>IF('[1]Main Sheet'!C73="","",358)</f>
        <v/>
      </c>
      <c r="C74" s="16" t="str">
        <f>IF('[1]Main Sheet'!C73="","",'[1]Main Sheet'!C73)</f>
        <v/>
      </c>
      <c r="D74" s="17" t="str">
        <f>IF('[1]Main Sheet'!D73="","",'[1]Main Sheet'!D73)</f>
        <v/>
      </c>
      <c r="E74" s="15" t="str">
        <f>IF('[1]Main Sheet'!E73="","",'[1]Main Sheet'!E73)</f>
        <v/>
      </c>
      <c r="F74" s="15" t="str">
        <f>IF('[1]Main Sheet'!I73="","",'[1]Main Sheet'!I73)</f>
        <v/>
      </c>
      <c r="G74" s="15" t="str">
        <f>IF('[1]Main Sheet'!L73="","",'[1]Main Sheet'!L73)</f>
        <v/>
      </c>
      <c r="H74" s="20" t="str">
        <f>IF(F74&lt;&gt;"",IF(IF(G74="Fresh",IF('JDL Misc Income'!F74&lt;&gt;"",'JDL Misc Income'!F74*'JDL PROCESSING FEES MASTER'!F$10,""),IF('JDL Misc Income'!F74&lt;&gt;"",'JDL Misc Income'!F74*'JDL PROCESSING FEES MASTER'!F$14,""))&gt;'JDL PROCESSING FEES MASTER'!G$10,'JDL PROCESSING FEES MASTER'!G$10,IF(G74="Fresh",IF('JDL Misc Income'!F74&lt;&gt;"",'JDL Misc Income'!F74*'JDL PROCESSING FEES MASTER'!F$10,""),IF('JDL Misc Income'!F74&lt;&gt;"",'JDL Misc Income'!F74*'JDL PROCESSING FEES MASTER'!F$14,""))),"")</f>
        <v/>
      </c>
      <c r="I74" s="20" t="str">
        <f>IF(F74&lt;&gt;"",IF(IF(G74="Fresh",IF('JDL Misc Income'!F74&lt;&gt;"",'JDL Misc Income'!F74*'JDL PROCESSING FEES MASTER'!F$10,""),IF('JDL Misc Income'!F74&lt;&gt;"",'JDL Misc Income'!F74*'JDL PROCESSING FEES MASTER'!F$14,""))&gt;'JDL PROCESSING FEES MASTER'!G$8,'JDL PROCESSING FEES MASTER'!G$8,IF(G74="Fresh",IF('JDL Misc Income'!F74&lt;&gt;"",'JDL Misc Income'!F74*'JDL PROCESSING FEES MASTER'!F$10,""),IF('JDL Misc Income'!F74&lt;&gt;"",'JDL Misc Income'!F74*'JDL PROCESSING FEES MASTER'!F$14,""))),"")</f>
        <v/>
      </c>
      <c r="J74" s="20" t="str">
        <f t="shared" si="1"/>
        <v/>
      </c>
    </row>
    <row r="75" spans="1:10" ht="38.25" customHeight="1" x14ac:dyDescent="0.3">
      <c r="A75" s="1">
        <v>70</v>
      </c>
      <c r="B75" s="15" t="str">
        <f>IF('[1]Main Sheet'!C74="","",358)</f>
        <v/>
      </c>
      <c r="C75" s="16" t="str">
        <f>IF('[1]Main Sheet'!C74="","",'[1]Main Sheet'!C74)</f>
        <v/>
      </c>
      <c r="D75" s="17" t="str">
        <f>IF('[1]Main Sheet'!D74="","",'[1]Main Sheet'!D74)</f>
        <v/>
      </c>
      <c r="E75" s="15" t="str">
        <f>IF('[1]Main Sheet'!E74="","",'[1]Main Sheet'!E74)</f>
        <v/>
      </c>
      <c r="F75" s="15" t="str">
        <f>IF('[1]Main Sheet'!I74="","",'[1]Main Sheet'!I74)</f>
        <v/>
      </c>
      <c r="G75" s="15" t="str">
        <f>IF('[1]Main Sheet'!L74="","",'[1]Main Sheet'!L74)</f>
        <v/>
      </c>
      <c r="H75" s="20" t="str">
        <f>IF(F75&lt;&gt;"",IF(IF(G75="Fresh",IF('JDL Misc Income'!F75&lt;&gt;"",'JDL Misc Income'!F75*'JDL PROCESSING FEES MASTER'!F$10,""),IF('JDL Misc Income'!F75&lt;&gt;"",'JDL Misc Income'!F75*'JDL PROCESSING FEES MASTER'!F$14,""))&gt;'JDL PROCESSING FEES MASTER'!G$10,'JDL PROCESSING FEES MASTER'!G$10,IF(G75="Fresh",IF('JDL Misc Income'!F75&lt;&gt;"",'JDL Misc Income'!F75*'JDL PROCESSING FEES MASTER'!F$10,""),IF('JDL Misc Income'!F75&lt;&gt;"",'JDL Misc Income'!F75*'JDL PROCESSING FEES MASTER'!F$14,""))),"")</f>
        <v/>
      </c>
      <c r="I75" s="20" t="str">
        <f>IF(F75&lt;&gt;"",IF(IF(G75="Fresh",IF('JDL Misc Income'!F75&lt;&gt;"",'JDL Misc Income'!F75*'JDL PROCESSING FEES MASTER'!F$10,""),IF('JDL Misc Income'!F75&lt;&gt;"",'JDL Misc Income'!F75*'JDL PROCESSING FEES MASTER'!F$14,""))&gt;'JDL PROCESSING FEES MASTER'!G$8,'JDL PROCESSING FEES MASTER'!G$8,IF(G75="Fresh",IF('JDL Misc Income'!F75&lt;&gt;"",'JDL Misc Income'!F75*'JDL PROCESSING FEES MASTER'!F$10,""),IF('JDL Misc Income'!F75&lt;&gt;"",'JDL Misc Income'!F75*'JDL PROCESSING FEES MASTER'!F$14,""))),"")</f>
        <v/>
      </c>
      <c r="J75" s="20" t="str">
        <f t="shared" si="1"/>
        <v/>
      </c>
    </row>
    <row r="76" spans="1:10" ht="38.25" customHeight="1" x14ac:dyDescent="0.3">
      <c r="A76" s="1">
        <v>71</v>
      </c>
      <c r="B76" s="15" t="str">
        <f>IF('[1]Main Sheet'!C75="","",358)</f>
        <v/>
      </c>
      <c r="C76" s="16" t="str">
        <f>IF('[1]Main Sheet'!C75="","",'[1]Main Sheet'!C75)</f>
        <v/>
      </c>
      <c r="D76" s="17" t="str">
        <f>IF('[1]Main Sheet'!D75="","",'[1]Main Sheet'!D75)</f>
        <v/>
      </c>
      <c r="E76" s="15" t="str">
        <f>IF('[1]Main Sheet'!E75="","",'[1]Main Sheet'!E75)</f>
        <v/>
      </c>
      <c r="F76" s="15" t="str">
        <f>IF('[1]Main Sheet'!I75="","",'[1]Main Sheet'!I75)</f>
        <v/>
      </c>
      <c r="G76" s="15" t="str">
        <f>IF('[1]Main Sheet'!L75="","",'[1]Main Sheet'!L75)</f>
        <v/>
      </c>
      <c r="H76" s="20" t="str">
        <f>IF(F76&lt;&gt;"",IF(IF(G76="Fresh",IF('JDL Misc Income'!F76&lt;&gt;"",'JDL Misc Income'!F76*'JDL PROCESSING FEES MASTER'!F$10,""),IF('JDL Misc Income'!F76&lt;&gt;"",'JDL Misc Income'!F76*'JDL PROCESSING FEES MASTER'!F$14,""))&gt;'JDL PROCESSING FEES MASTER'!G$10,'JDL PROCESSING FEES MASTER'!G$10,IF(G76="Fresh",IF('JDL Misc Income'!F76&lt;&gt;"",'JDL Misc Income'!F76*'JDL PROCESSING FEES MASTER'!F$10,""),IF('JDL Misc Income'!F76&lt;&gt;"",'JDL Misc Income'!F76*'JDL PROCESSING FEES MASTER'!F$14,""))),"")</f>
        <v/>
      </c>
      <c r="I76" s="20" t="str">
        <f>IF(F76&lt;&gt;"",IF(IF(G76="Fresh",IF('JDL Misc Income'!F76&lt;&gt;"",'JDL Misc Income'!F76*'JDL PROCESSING FEES MASTER'!F$10,""),IF('JDL Misc Income'!F76&lt;&gt;"",'JDL Misc Income'!F76*'JDL PROCESSING FEES MASTER'!F$14,""))&gt;'JDL PROCESSING FEES MASTER'!G$8,'JDL PROCESSING FEES MASTER'!G$8,IF(G76="Fresh",IF('JDL Misc Income'!F76&lt;&gt;"",'JDL Misc Income'!F76*'JDL PROCESSING FEES MASTER'!F$10,""),IF('JDL Misc Income'!F76&lt;&gt;"",'JDL Misc Income'!F76*'JDL PROCESSING FEES MASTER'!F$14,""))),"")</f>
        <v/>
      </c>
      <c r="J76" s="20" t="str">
        <f t="shared" si="1"/>
        <v/>
      </c>
    </row>
    <row r="77" spans="1:10" ht="38.25" customHeight="1" x14ac:dyDescent="0.3">
      <c r="A77" s="1">
        <v>72</v>
      </c>
      <c r="B77" s="15" t="str">
        <f>IF('[1]Main Sheet'!C76="","",358)</f>
        <v/>
      </c>
      <c r="C77" s="16" t="str">
        <f>IF('[1]Main Sheet'!C76="","",'[1]Main Sheet'!C76)</f>
        <v/>
      </c>
      <c r="D77" s="17" t="str">
        <f>IF('[1]Main Sheet'!D76="","",'[1]Main Sheet'!D76)</f>
        <v/>
      </c>
      <c r="E77" s="15" t="str">
        <f>IF('[1]Main Sheet'!E76="","",'[1]Main Sheet'!E76)</f>
        <v/>
      </c>
      <c r="F77" s="15" t="str">
        <f>IF('[1]Main Sheet'!I76="","",'[1]Main Sheet'!I76)</f>
        <v/>
      </c>
      <c r="G77" s="15" t="str">
        <f>IF('[1]Main Sheet'!L76="","",'[1]Main Sheet'!L76)</f>
        <v/>
      </c>
      <c r="H77" s="20" t="str">
        <f>IF(F77&lt;&gt;"",IF(IF(G77="Fresh",IF('JDL Misc Income'!F77&lt;&gt;"",'JDL Misc Income'!F77*'JDL PROCESSING FEES MASTER'!F$10,""),IF('JDL Misc Income'!F77&lt;&gt;"",'JDL Misc Income'!F77*'JDL PROCESSING FEES MASTER'!F$14,""))&gt;'JDL PROCESSING FEES MASTER'!G$10,'JDL PROCESSING FEES MASTER'!G$10,IF(G77="Fresh",IF('JDL Misc Income'!F77&lt;&gt;"",'JDL Misc Income'!F77*'JDL PROCESSING FEES MASTER'!F$10,""),IF('JDL Misc Income'!F77&lt;&gt;"",'JDL Misc Income'!F77*'JDL PROCESSING FEES MASTER'!F$14,""))),"")</f>
        <v/>
      </c>
      <c r="I77" s="20" t="str">
        <f>IF(F77&lt;&gt;"",IF(IF(G77="Fresh",IF('JDL Misc Income'!F77&lt;&gt;"",'JDL Misc Income'!F77*'JDL PROCESSING FEES MASTER'!F$10,""),IF('JDL Misc Income'!F77&lt;&gt;"",'JDL Misc Income'!F77*'JDL PROCESSING FEES MASTER'!F$14,""))&gt;'JDL PROCESSING FEES MASTER'!G$8,'JDL PROCESSING FEES MASTER'!G$8,IF(G77="Fresh",IF('JDL Misc Income'!F77&lt;&gt;"",'JDL Misc Income'!F77*'JDL PROCESSING FEES MASTER'!F$10,""),IF('JDL Misc Income'!F77&lt;&gt;"",'JDL Misc Income'!F77*'JDL PROCESSING FEES MASTER'!F$14,""))),"")</f>
        <v/>
      </c>
      <c r="J77" s="20" t="str">
        <f t="shared" si="1"/>
        <v/>
      </c>
    </row>
    <row r="78" spans="1:10" ht="38.25" customHeight="1" x14ac:dyDescent="0.3">
      <c r="A78" s="1">
        <v>73</v>
      </c>
      <c r="B78" s="15" t="str">
        <f>IF('[1]Main Sheet'!C77="","",358)</f>
        <v/>
      </c>
      <c r="C78" s="16" t="str">
        <f>IF('[1]Main Sheet'!C77="","",'[1]Main Sheet'!C77)</f>
        <v/>
      </c>
      <c r="D78" s="17" t="str">
        <f>IF('[1]Main Sheet'!D77="","",'[1]Main Sheet'!D77)</f>
        <v/>
      </c>
      <c r="E78" s="15" t="str">
        <f>IF('[1]Main Sheet'!E77="","",'[1]Main Sheet'!E77)</f>
        <v/>
      </c>
      <c r="F78" s="15" t="str">
        <f>IF('[1]Main Sheet'!I77="","",'[1]Main Sheet'!I77)</f>
        <v/>
      </c>
      <c r="G78" s="15" t="str">
        <f>IF('[1]Main Sheet'!L77="","",'[1]Main Sheet'!L77)</f>
        <v/>
      </c>
      <c r="H78" s="20" t="str">
        <f>IF(F78&lt;&gt;"",IF(IF(G78="Fresh",IF('JDL Misc Income'!F78&lt;&gt;"",'JDL Misc Income'!F78*'JDL PROCESSING FEES MASTER'!F$10,""),IF('JDL Misc Income'!F78&lt;&gt;"",'JDL Misc Income'!F78*'JDL PROCESSING FEES MASTER'!F$14,""))&gt;'JDL PROCESSING FEES MASTER'!G$10,'JDL PROCESSING FEES MASTER'!G$10,IF(G78="Fresh",IF('JDL Misc Income'!F78&lt;&gt;"",'JDL Misc Income'!F78*'JDL PROCESSING FEES MASTER'!F$10,""),IF('JDL Misc Income'!F78&lt;&gt;"",'JDL Misc Income'!F78*'JDL PROCESSING FEES MASTER'!F$14,""))),"")</f>
        <v/>
      </c>
      <c r="I78" s="20" t="str">
        <f>IF(F78&lt;&gt;"",IF(IF(G78="Fresh",IF('JDL Misc Income'!F78&lt;&gt;"",'JDL Misc Income'!F78*'JDL PROCESSING FEES MASTER'!F$10,""),IF('JDL Misc Income'!F78&lt;&gt;"",'JDL Misc Income'!F78*'JDL PROCESSING FEES MASTER'!F$14,""))&gt;'JDL PROCESSING FEES MASTER'!G$8,'JDL PROCESSING FEES MASTER'!G$8,IF(G78="Fresh",IF('JDL Misc Income'!F78&lt;&gt;"",'JDL Misc Income'!F78*'JDL PROCESSING FEES MASTER'!F$10,""),IF('JDL Misc Income'!F78&lt;&gt;"",'JDL Misc Income'!F78*'JDL PROCESSING FEES MASTER'!F$14,""))),"")</f>
        <v/>
      </c>
      <c r="J78" s="20" t="str">
        <f t="shared" si="1"/>
        <v/>
      </c>
    </row>
    <row r="79" spans="1:10" ht="38.25" customHeight="1" x14ac:dyDescent="0.3">
      <c r="A79" s="1">
        <v>74</v>
      </c>
      <c r="B79" s="15" t="str">
        <f>IF('[1]Main Sheet'!C78="","",358)</f>
        <v/>
      </c>
      <c r="C79" s="16" t="str">
        <f>IF('[1]Main Sheet'!C78="","",'[1]Main Sheet'!C78)</f>
        <v/>
      </c>
      <c r="D79" s="17" t="str">
        <f>IF('[1]Main Sheet'!D78="","",'[1]Main Sheet'!D78)</f>
        <v/>
      </c>
      <c r="E79" s="15" t="str">
        <f>IF('[1]Main Sheet'!E78="","",'[1]Main Sheet'!E78)</f>
        <v/>
      </c>
      <c r="F79" s="15" t="str">
        <f>IF('[1]Main Sheet'!I78="","",'[1]Main Sheet'!I78)</f>
        <v/>
      </c>
      <c r="G79" s="15" t="str">
        <f>IF('[1]Main Sheet'!L78="","",'[1]Main Sheet'!L78)</f>
        <v/>
      </c>
      <c r="H79" s="20" t="str">
        <f>IF(F79&lt;&gt;"",IF(IF(G79="Fresh",IF('JDL Misc Income'!F79&lt;&gt;"",'JDL Misc Income'!F79*'JDL PROCESSING FEES MASTER'!F$10,""),IF('JDL Misc Income'!F79&lt;&gt;"",'JDL Misc Income'!F79*'JDL PROCESSING FEES MASTER'!F$14,""))&gt;'JDL PROCESSING FEES MASTER'!G$10,'JDL PROCESSING FEES MASTER'!G$10,IF(G79="Fresh",IF('JDL Misc Income'!F79&lt;&gt;"",'JDL Misc Income'!F79*'JDL PROCESSING FEES MASTER'!F$10,""),IF('JDL Misc Income'!F79&lt;&gt;"",'JDL Misc Income'!F79*'JDL PROCESSING FEES MASTER'!F$14,""))),"")</f>
        <v/>
      </c>
      <c r="I79" s="20" t="str">
        <f>IF(F79&lt;&gt;"",IF(IF(G79="Fresh",IF('JDL Misc Income'!F79&lt;&gt;"",'JDL Misc Income'!F79*'JDL PROCESSING FEES MASTER'!F$10,""),IF('JDL Misc Income'!F79&lt;&gt;"",'JDL Misc Income'!F79*'JDL PROCESSING FEES MASTER'!F$14,""))&gt;'JDL PROCESSING FEES MASTER'!G$8,'JDL PROCESSING FEES MASTER'!G$8,IF(G79="Fresh",IF('JDL Misc Income'!F79&lt;&gt;"",'JDL Misc Income'!F79*'JDL PROCESSING FEES MASTER'!F$10,""),IF('JDL Misc Income'!F79&lt;&gt;"",'JDL Misc Income'!F79*'JDL PROCESSING FEES MASTER'!F$14,""))),"")</f>
        <v/>
      </c>
      <c r="J79" s="20" t="str">
        <f t="shared" si="1"/>
        <v/>
      </c>
    </row>
    <row r="80" spans="1:10" ht="38.25" customHeight="1" x14ac:dyDescent="0.3">
      <c r="A80" s="1">
        <v>75</v>
      </c>
      <c r="B80" s="15" t="str">
        <f>IF('[1]Main Sheet'!C79="","",358)</f>
        <v/>
      </c>
      <c r="C80" s="16" t="str">
        <f>IF('[1]Main Sheet'!C79="","",'[1]Main Sheet'!C79)</f>
        <v/>
      </c>
      <c r="D80" s="17" t="str">
        <f>IF('[1]Main Sheet'!D79="","",'[1]Main Sheet'!D79)</f>
        <v/>
      </c>
      <c r="E80" s="15" t="str">
        <f>IF('[1]Main Sheet'!E79="","",'[1]Main Sheet'!E79)</f>
        <v/>
      </c>
      <c r="F80" s="15" t="str">
        <f>IF('[1]Main Sheet'!I79="","",'[1]Main Sheet'!I79)</f>
        <v/>
      </c>
      <c r="G80" s="15" t="str">
        <f>IF('[1]Main Sheet'!L79="","",'[1]Main Sheet'!L79)</f>
        <v/>
      </c>
      <c r="H80" s="20" t="str">
        <f>IF(F80&lt;&gt;"",IF(IF(G80="Fresh",IF('JDL Misc Income'!F80&lt;&gt;"",'JDL Misc Income'!F80*'JDL PROCESSING FEES MASTER'!F$10,""),IF('JDL Misc Income'!F80&lt;&gt;"",'JDL Misc Income'!F80*'JDL PROCESSING FEES MASTER'!F$14,""))&gt;'JDL PROCESSING FEES MASTER'!G$10,'JDL PROCESSING FEES MASTER'!G$10,IF(G80="Fresh",IF('JDL Misc Income'!F80&lt;&gt;"",'JDL Misc Income'!F80*'JDL PROCESSING FEES MASTER'!F$10,""),IF('JDL Misc Income'!F80&lt;&gt;"",'JDL Misc Income'!F80*'JDL PROCESSING FEES MASTER'!F$14,""))),"")</f>
        <v/>
      </c>
      <c r="I80" s="20" t="str">
        <f>IF(F80&lt;&gt;"",IF(IF(G80="Fresh",IF('JDL Misc Income'!F80&lt;&gt;"",'JDL Misc Income'!F80*'JDL PROCESSING FEES MASTER'!F$10,""),IF('JDL Misc Income'!F80&lt;&gt;"",'JDL Misc Income'!F80*'JDL PROCESSING FEES MASTER'!F$14,""))&gt;'JDL PROCESSING FEES MASTER'!G$8,'JDL PROCESSING FEES MASTER'!G$8,IF(G80="Fresh",IF('JDL Misc Income'!F80&lt;&gt;"",'JDL Misc Income'!F80*'JDL PROCESSING FEES MASTER'!F$10,""),IF('JDL Misc Income'!F80&lt;&gt;"",'JDL Misc Income'!F80*'JDL PROCESSING FEES MASTER'!F$14,""))),"")</f>
        <v/>
      </c>
      <c r="J80" s="20" t="str">
        <f t="shared" si="1"/>
        <v/>
      </c>
    </row>
    <row r="81" spans="1:10" ht="38.25" customHeight="1" x14ac:dyDescent="0.3">
      <c r="A81" s="1">
        <v>76</v>
      </c>
      <c r="B81" s="15" t="str">
        <f>IF('[1]Main Sheet'!C80="","",358)</f>
        <v/>
      </c>
      <c r="C81" s="16" t="str">
        <f>IF('[1]Main Sheet'!C80="","",'[1]Main Sheet'!C80)</f>
        <v/>
      </c>
      <c r="D81" s="17" t="str">
        <f>IF('[1]Main Sheet'!D80="","",'[1]Main Sheet'!D80)</f>
        <v/>
      </c>
      <c r="E81" s="15" t="str">
        <f>IF('[1]Main Sheet'!E80="","",'[1]Main Sheet'!E80)</f>
        <v/>
      </c>
      <c r="F81" s="15" t="str">
        <f>IF('[1]Main Sheet'!I80="","",'[1]Main Sheet'!I80)</f>
        <v/>
      </c>
      <c r="G81" s="15" t="str">
        <f>IF('[1]Main Sheet'!L80="","",'[1]Main Sheet'!L80)</f>
        <v/>
      </c>
      <c r="H81" s="20" t="str">
        <f>IF(F81&lt;&gt;"",IF(IF(G81="Fresh",IF('JDL Misc Income'!F81&lt;&gt;"",'JDL Misc Income'!F81*'JDL PROCESSING FEES MASTER'!F$10,""),IF('JDL Misc Income'!F81&lt;&gt;"",'JDL Misc Income'!F81*'JDL PROCESSING FEES MASTER'!F$14,""))&gt;'JDL PROCESSING FEES MASTER'!G$10,'JDL PROCESSING FEES MASTER'!G$10,IF(G81="Fresh",IF('JDL Misc Income'!F81&lt;&gt;"",'JDL Misc Income'!F81*'JDL PROCESSING FEES MASTER'!F$10,""),IF('JDL Misc Income'!F81&lt;&gt;"",'JDL Misc Income'!F81*'JDL PROCESSING FEES MASTER'!F$14,""))),"")</f>
        <v/>
      </c>
      <c r="I81" s="20" t="str">
        <f>IF(F81&lt;&gt;"",IF(IF(G81="Fresh",IF('JDL Misc Income'!F81&lt;&gt;"",'JDL Misc Income'!F81*'JDL PROCESSING FEES MASTER'!F$10,""),IF('JDL Misc Income'!F81&lt;&gt;"",'JDL Misc Income'!F81*'JDL PROCESSING FEES MASTER'!F$14,""))&gt;'JDL PROCESSING FEES MASTER'!G$8,'JDL PROCESSING FEES MASTER'!G$8,IF(G81="Fresh",IF('JDL Misc Income'!F81&lt;&gt;"",'JDL Misc Income'!F81*'JDL PROCESSING FEES MASTER'!F$10,""),IF('JDL Misc Income'!F81&lt;&gt;"",'JDL Misc Income'!F81*'JDL PROCESSING FEES MASTER'!F$14,""))),"")</f>
        <v/>
      </c>
      <c r="J81" s="20" t="str">
        <f t="shared" si="1"/>
        <v/>
      </c>
    </row>
    <row r="82" spans="1:10" ht="38.25" customHeight="1" x14ac:dyDescent="0.3">
      <c r="A82" s="1">
        <v>77</v>
      </c>
      <c r="B82" s="15" t="str">
        <f>IF('[1]Main Sheet'!C81="","",358)</f>
        <v/>
      </c>
      <c r="C82" s="16" t="str">
        <f>IF('[1]Main Sheet'!C81="","",'[1]Main Sheet'!C81)</f>
        <v/>
      </c>
      <c r="D82" s="17" t="str">
        <f>IF('[1]Main Sheet'!D81="","",'[1]Main Sheet'!D81)</f>
        <v/>
      </c>
      <c r="E82" s="15" t="str">
        <f>IF('[1]Main Sheet'!E81="","",'[1]Main Sheet'!E81)</f>
        <v/>
      </c>
      <c r="F82" s="15" t="str">
        <f>IF('[1]Main Sheet'!I81="","",'[1]Main Sheet'!I81)</f>
        <v/>
      </c>
      <c r="G82" s="15" t="str">
        <f>IF('[1]Main Sheet'!L81="","",'[1]Main Sheet'!L81)</f>
        <v/>
      </c>
      <c r="H82" s="20" t="str">
        <f>IF(F82&lt;&gt;"",IF(IF(G82="Fresh",IF('JDL Misc Income'!F82&lt;&gt;"",'JDL Misc Income'!F82*'JDL PROCESSING FEES MASTER'!F$10,""),IF('JDL Misc Income'!F82&lt;&gt;"",'JDL Misc Income'!F82*'JDL PROCESSING FEES MASTER'!F$14,""))&gt;'JDL PROCESSING FEES MASTER'!G$10,'JDL PROCESSING FEES MASTER'!G$10,IF(G82="Fresh",IF('JDL Misc Income'!F82&lt;&gt;"",'JDL Misc Income'!F82*'JDL PROCESSING FEES MASTER'!F$10,""),IF('JDL Misc Income'!F82&lt;&gt;"",'JDL Misc Income'!F82*'JDL PROCESSING FEES MASTER'!F$14,""))),"")</f>
        <v/>
      </c>
      <c r="I82" s="20" t="str">
        <f>IF(F82&lt;&gt;"",IF(IF(G82="Fresh",IF('JDL Misc Income'!F82&lt;&gt;"",'JDL Misc Income'!F82*'JDL PROCESSING FEES MASTER'!F$10,""),IF('JDL Misc Income'!F82&lt;&gt;"",'JDL Misc Income'!F82*'JDL PROCESSING FEES MASTER'!F$14,""))&gt;'JDL PROCESSING FEES MASTER'!G$8,'JDL PROCESSING FEES MASTER'!G$8,IF(G82="Fresh",IF('JDL Misc Income'!F82&lt;&gt;"",'JDL Misc Income'!F82*'JDL PROCESSING FEES MASTER'!F$10,""),IF('JDL Misc Income'!F82&lt;&gt;"",'JDL Misc Income'!F82*'JDL PROCESSING FEES MASTER'!F$14,""))),"")</f>
        <v/>
      </c>
      <c r="J82" s="20" t="str">
        <f t="shared" si="1"/>
        <v/>
      </c>
    </row>
    <row r="83" spans="1:10" ht="38.25" customHeight="1" x14ac:dyDescent="0.3">
      <c r="A83" s="1">
        <v>78</v>
      </c>
      <c r="B83" s="15" t="str">
        <f>IF('[1]Main Sheet'!C82="","",358)</f>
        <v/>
      </c>
      <c r="C83" s="16" t="str">
        <f>IF('[1]Main Sheet'!C82="","",'[1]Main Sheet'!C82)</f>
        <v/>
      </c>
      <c r="D83" s="17" t="str">
        <f>IF('[1]Main Sheet'!D82="","",'[1]Main Sheet'!D82)</f>
        <v/>
      </c>
      <c r="E83" s="15" t="str">
        <f>IF('[1]Main Sheet'!E82="","",'[1]Main Sheet'!E82)</f>
        <v/>
      </c>
      <c r="F83" s="15" t="str">
        <f>IF('[1]Main Sheet'!I82="","",'[1]Main Sheet'!I82)</f>
        <v/>
      </c>
      <c r="G83" s="15" t="str">
        <f>IF('[1]Main Sheet'!L82="","",'[1]Main Sheet'!L82)</f>
        <v/>
      </c>
      <c r="H83" s="20" t="str">
        <f>IF(F83&lt;&gt;"",IF(IF(G83="Fresh",IF('JDL Misc Income'!F83&lt;&gt;"",'JDL Misc Income'!F83*'JDL PROCESSING FEES MASTER'!F$10,""),IF('JDL Misc Income'!F83&lt;&gt;"",'JDL Misc Income'!F83*'JDL PROCESSING FEES MASTER'!F$14,""))&gt;'JDL PROCESSING FEES MASTER'!G$10,'JDL PROCESSING FEES MASTER'!G$10,IF(G83="Fresh",IF('JDL Misc Income'!F83&lt;&gt;"",'JDL Misc Income'!F83*'JDL PROCESSING FEES MASTER'!F$10,""),IF('JDL Misc Income'!F83&lt;&gt;"",'JDL Misc Income'!F83*'JDL PROCESSING FEES MASTER'!F$14,""))),"")</f>
        <v/>
      </c>
      <c r="I83" s="20" t="str">
        <f>IF(F83&lt;&gt;"",IF(IF(G83="Fresh",IF('JDL Misc Income'!F83&lt;&gt;"",'JDL Misc Income'!F83*'JDL PROCESSING FEES MASTER'!F$10,""),IF('JDL Misc Income'!F83&lt;&gt;"",'JDL Misc Income'!F83*'JDL PROCESSING FEES MASTER'!F$14,""))&gt;'JDL PROCESSING FEES MASTER'!G$8,'JDL PROCESSING FEES MASTER'!G$8,IF(G83="Fresh",IF('JDL Misc Income'!F83&lt;&gt;"",'JDL Misc Income'!F83*'JDL PROCESSING FEES MASTER'!F$10,""),IF('JDL Misc Income'!F83&lt;&gt;"",'JDL Misc Income'!F83*'JDL PROCESSING FEES MASTER'!F$14,""))),"")</f>
        <v/>
      </c>
      <c r="J83" s="20" t="str">
        <f t="shared" si="1"/>
        <v/>
      </c>
    </row>
    <row r="84" spans="1:10" ht="38.25" customHeight="1" x14ac:dyDescent="0.3">
      <c r="A84" s="1">
        <v>79</v>
      </c>
      <c r="B84" s="15" t="str">
        <f>IF('[1]Main Sheet'!C83="","",358)</f>
        <v/>
      </c>
      <c r="C84" s="16" t="str">
        <f>IF('[1]Main Sheet'!C83="","",'[1]Main Sheet'!C83)</f>
        <v/>
      </c>
      <c r="D84" s="17" t="str">
        <f>IF('[1]Main Sheet'!D83="","",'[1]Main Sheet'!D83)</f>
        <v/>
      </c>
      <c r="E84" s="15" t="str">
        <f>IF('[1]Main Sheet'!E83="","",'[1]Main Sheet'!E83)</f>
        <v/>
      </c>
      <c r="F84" s="15" t="str">
        <f>IF('[1]Main Sheet'!I83="","",'[1]Main Sheet'!I83)</f>
        <v/>
      </c>
      <c r="G84" s="15" t="str">
        <f>IF('[1]Main Sheet'!L83="","",'[1]Main Sheet'!L83)</f>
        <v/>
      </c>
      <c r="H84" s="20" t="str">
        <f>IF(F84&lt;&gt;"",IF(IF(G84="Fresh",IF('JDL Misc Income'!F84&lt;&gt;"",'JDL Misc Income'!F84*'JDL PROCESSING FEES MASTER'!F$10,""),IF('JDL Misc Income'!F84&lt;&gt;"",'JDL Misc Income'!F84*'JDL PROCESSING FEES MASTER'!F$14,""))&gt;'JDL PROCESSING FEES MASTER'!G$10,'JDL PROCESSING FEES MASTER'!G$10,IF(G84="Fresh",IF('JDL Misc Income'!F84&lt;&gt;"",'JDL Misc Income'!F84*'JDL PROCESSING FEES MASTER'!F$10,""),IF('JDL Misc Income'!F84&lt;&gt;"",'JDL Misc Income'!F84*'JDL PROCESSING FEES MASTER'!F$14,""))),"")</f>
        <v/>
      </c>
      <c r="I84" s="20" t="str">
        <f>IF(F84&lt;&gt;"",IF(IF(G84="Fresh",IF('JDL Misc Income'!F84&lt;&gt;"",'JDL Misc Income'!F84*'JDL PROCESSING FEES MASTER'!F$10,""),IF('JDL Misc Income'!F84&lt;&gt;"",'JDL Misc Income'!F84*'JDL PROCESSING FEES MASTER'!F$14,""))&gt;'JDL PROCESSING FEES MASTER'!G$8,'JDL PROCESSING FEES MASTER'!G$8,IF(G84="Fresh",IF('JDL Misc Income'!F84&lt;&gt;"",'JDL Misc Income'!F84*'JDL PROCESSING FEES MASTER'!F$10,""),IF('JDL Misc Income'!F84&lt;&gt;"",'JDL Misc Income'!F84*'JDL PROCESSING FEES MASTER'!F$14,""))),"")</f>
        <v/>
      </c>
      <c r="J84" s="20" t="str">
        <f t="shared" si="1"/>
        <v/>
      </c>
    </row>
    <row r="85" spans="1:10" ht="38.25" customHeight="1" x14ac:dyDescent="0.3">
      <c r="A85" s="1">
        <v>80</v>
      </c>
      <c r="B85" s="15" t="str">
        <f>IF('[1]Main Sheet'!C84="","",358)</f>
        <v/>
      </c>
      <c r="C85" s="16" t="str">
        <f>IF('[1]Main Sheet'!C84="","",'[1]Main Sheet'!C84)</f>
        <v/>
      </c>
      <c r="D85" s="17" t="str">
        <f>IF('[1]Main Sheet'!D84="","",'[1]Main Sheet'!D84)</f>
        <v/>
      </c>
      <c r="E85" s="15" t="str">
        <f>IF('[1]Main Sheet'!E84="","",'[1]Main Sheet'!E84)</f>
        <v/>
      </c>
      <c r="F85" s="15" t="str">
        <f>IF('[1]Main Sheet'!I84="","",'[1]Main Sheet'!I84)</f>
        <v/>
      </c>
      <c r="G85" s="15" t="str">
        <f>IF('[1]Main Sheet'!L84="","",'[1]Main Sheet'!L84)</f>
        <v/>
      </c>
      <c r="H85" s="20" t="str">
        <f>IF(F85&lt;&gt;"",IF(IF(G85="Fresh",IF('JDL Misc Income'!F85&lt;&gt;"",'JDL Misc Income'!F85*'JDL PROCESSING FEES MASTER'!F$10,""),IF('JDL Misc Income'!F85&lt;&gt;"",'JDL Misc Income'!F85*'JDL PROCESSING FEES MASTER'!F$14,""))&gt;'JDL PROCESSING FEES MASTER'!G$10,'JDL PROCESSING FEES MASTER'!G$10,IF(G85="Fresh",IF('JDL Misc Income'!F85&lt;&gt;"",'JDL Misc Income'!F85*'JDL PROCESSING FEES MASTER'!F$10,""),IF('JDL Misc Income'!F85&lt;&gt;"",'JDL Misc Income'!F85*'JDL PROCESSING FEES MASTER'!F$14,""))),"")</f>
        <v/>
      </c>
      <c r="I85" s="20" t="str">
        <f>IF(F85&lt;&gt;"",IF(IF(G85="Fresh",IF('JDL Misc Income'!F85&lt;&gt;"",'JDL Misc Income'!F85*'JDL PROCESSING FEES MASTER'!F$10,""),IF('JDL Misc Income'!F85&lt;&gt;"",'JDL Misc Income'!F85*'JDL PROCESSING FEES MASTER'!F$14,""))&gt;'JDL PROCESSING FEES MASTER'!G$8,'JDL PROCESSING FEES MASTER'!G$8,IF(G85="Fresh",IF('JDL Misc Income'!F85&lt;&gt;"",'JDL Misc Income'!F85*'JDL PROCESSING FEES MASTER'!F$10,""),IF('JDL Misc Income'!F85&lt;&gt;"",'JDL Misc Income'!F85*'JDL PROCESSING FEES MASTER'!F$14,""))),"")</f>
        <v/>
      </c>
      <c r="J85" s="20" t="str">
        <f t="shared" si="1"/>
        <v/>
      </c>
    </row>
    <row r="86" spans="1:10" ht="38.25" customHeight="1" x14ac:dyDescent="0.3">
      <c r="A86" s="1">
        <v>81</v>
      </c>
      <c r="B86" s="15" t="str">
        <f>IF('[1]Main Sheet'!C85="","",358)</f>
        <v/>
      </c>
      <c r="C86" s="16" t="str">
        <f>IF('[1]Main Sheet'!C85="","",'[1]Main Sheet'!C85)</f>
        <v/>
      </c>
      <c r="D86" s="17" t="str">
        <f>IF('[1]Main Sheet'!D85="","",'[1]Main Sheet'!D85)</f>
        <v/>
      </c>
      <c r="E86" s="15" t="str">
        <f>IF('[1]Main Sheet'!E85="","",'[1]Main Sheet'!E85)</f>
        <v/>
      </c>
      <c r="F86" s="15" t="str">
        <f>IF('[1]Main Sheet'!I85="","",'[1]Main Sheet'!I85)</f>
        <v/>
      </c>
      <c r="G86" s="15" t="str">
        <f>IF('[1]Main Sheet'!L85="","",'[1]Main Sheet'!L85)</f>
        <v/>
      </c>
      <c r="H86" s="20" t="str">
        <f>IF(F86&lt;&gt;"",IF(IF(G86="Fresh",IF('JDL Misc Income'!F86&lt;&gt;"",'JDL Misc Income'!F86*'JDL PROCESSING FEES MASTER'!F$10,""),IF('JDL Misc Income'!F86&lt;&gt;"",'JDL Misc Income'!F86*'JDL PROCESSING FEES MASTER'!F$14,""))&gt;'JDL PROCESSING FEES MASTER'!G$10,'JDL PROCESSING FEES MASTER'!G$10,IF(G86="Fresh",IF('JDL Misc Income'!F86&lt;&gt;"",'JDL Misc Income'!F86*'JDL PROCESSING FEES MASTER'!F$10,""),IF('JDL Misc Income'!F86&lt;&gt;"",'JDL Misc Income'!F86*'JDL PROCESSING FEES MASTER'!F$14,""))),"")</f>
        <v/>
      </c>
      <c r="I86" s="20" t="str">
        <f>IF(F86&lt;&gt;"",IF(IF(G86="Fresh",IF('JDL Misc Income'!F86&lt;&gt;"",'JDL Misc Income'!F86*'JDL PROCESSING FEES MASTER'!F$10,""),IF('JDL Misc Income'!F86&lt;&gt;"",'JDL Misc Income'!F86*'JDL PROCESSING FEES MASTER'!F$14,""))&gt;'JDL PROCESSING FEES MASTER'!G$8,'JDL PROCESSING FEES MASTER'!G$8,IF(G86="Fresh",IF('JDL Misc Income'!F86&lt;&gt;"",'JDL Misc Income'!F86*'JDL PROCESSING FEES MASTER'!F$10,""),IF('JDL Misc Income'!F86&lt;&gt;"",'JDL Misc Income'!F86*'JDL PROCESSING FEES MASTER'!F$14,""))),"")</f>
        <v/>
      </c>
      <c r="J86" s="20" t="str">
        <f t="shared" si="1"/>
        <v/>
      </c>
    </row>
    <row r="87" spans="1:10" ht="38.25" customHeight="1" x14ac:dyDescent="0.3">
      <c r="A87" s="1">
        <v>82</v>
      </c>
      <c r="B87" s="15" t="str">
        <f>IF('[1]Main Sheet'!C86="","",358)</f>
        <v/>
      </c>
      <c r="C87" s="16" t="str">
        <f>IF('[1]Main Sheet'!C86="","",'[1]Main Sheet'!C86)</f>
        <v/>
      </c>
      <c r="D87" s="17" t="str">
        <f>IF('[1]Main Sheet'!D86="","",'[1]Main Sheet'!D86)</f>
        <v/>
      </c>
      <c r="E87" s="15" t="str">
        <f>IF('[1]Main Sheet'!E86="","",'[1]Main Sheet'!E86)</f>
        <v/>
      </c>
      <c r="F87" s="15" t="str">
        <f>IF('[1]Main Sheet'!I86="","",'[1]Main Sheet'!I86)</f>
        <v/>
      </c>
      <c r="G87" s="15" t="str">
        <f>IF('[1]Main Sheet'!L86="","",'[1]Main Sheet'!L86)</f>
        <v/>
      </c>
      <c r="H87" s="20" t="str">
        <f>IF(F87&lt;&gt;"",IF(IF(G87="Fresh",IF('JDL Misc Income'!F87&lt;&gt;"",'JDL Misc Income'!F87*'JDL PROCESSING FEES MASTER'!F$10,""),IF('JDL Misc Income'!F87&lt;&gt;"",'JDL Misc Income'!F87*'JDL PROCESSING FEES MASTER'!F$14,""))&gt;'JDL PROCESSING FEES MASTER'!G$10,'JDL PROCESSING FEES MASTER'!G$10,IF(G87="Fresh",IF('JDL Misc Income'!F87&lt;&gt;"",'JDL Misc Income'!F87*'JDL PROCESSING FEES MASTER'!F$10,""),IF('JDL Misc Income'!F87&lt;&gt;"",'JDL Misc Income'!F87*'JDL PROCESSING FEES MASTER'!F$14,""))),"")</f>
        <v/>
      </c>
      <c r="I87" s="20" t="str">
        <f>IF(F87&lt;&gt;"",IF(IF(G87="Fresh",IF('JDL Misc Income'!F87&lt;&gt;"",'JDL Misc Income'!F87*'JDL PROCESSING FEES MASTER'!F$10,""),IF('JDL Misc Income'!F87&lt;&gt;"",'JDL Misc Income'!F87*'JDL PROCESSING FEES MASTER'!F$14,""))&gt;'JDL PROCESSING FEES MASTER'!G$8,'JDL PROCESSING FEES MASTER'!G$8,IF(G87="Fresh",IF('JDL Misc Income'!F87&lt;&gt;"",'JDL Misc Income'!F87*'JDL PROCESSING FEES MASTER'!F$10,""),IF('JDL Misc Income'!F87&lt;&gt;"",'JDL Misc Income'!F87*'JDL PROCESSING FEES MASTER'!F$14,""))),"")</f>
        <v/>
      </c>
      <c r="J87" s="20" t="str">
        <f t="shared" si="1"/>
        <v/>
      </c>
    </row>
    <row r="88" spans="1:10" ht="38.25" customHeight="1" x14ac:dyDescent="0.3">
      <c r="A88" s="1">
        <v>83</v>
      </c>
      <c r="B88" s="15" t="str">
        <f>IF('[1]Main Sheet'!C87="","",358)</f>
        <v/>
      </c>
      <c r="C88" s="16" t="str">
        <f>IF('[1]Main Sheet'!C87="","",'[1]Main Sheet'!C87)</f>
        <v/>
      </c>
      <c r="D88" s="17" t="str">
        <f>IF('[1]Main Sheet'!D87="","",'[1]Main Sheet'!D87)</f>
        <v/>
      </c>
      <c r="E88" s="15" t="str">
        <f>IF('[1]Main Sheet'!E87="","",'[1]Main Sheet'!E87)</f>
        <v/>
      </c>
      <c r="F88" s="15" t="str">
        <f>IF('[1]Main Sheet'!I87="","",'[1]Main Sheet'!I87)</f>
        <v/>
      </c>
      <c r="G88" s="15" t="str">
        <f>IF('[1]Main Sheet'!L87="","",'[1]Main Sheet'!L87)</f>
        <v/>
      </c>
      <c r="H88" s="20" t="str">
        <f>IF(F88&lt;&gt;"",IF(IF(G88="Fresh",IF('JDL Misc Income'!F88&lt;&gt;"",'JDL Misc Income'!F88*'JDL PROCESSING FEES MASTER'!F$10,""),IF('JDL Misc Income'!F88&lt;&gt;"",'JDL Misc Income'!F88*'JDL PROCESSING FEES MASTER'!F$14,""))&gt;'JDL PROCESSING FEES MASTER'!G$10,'JDL PROCESSING FEES MASTER'!G$10,IF(G88="Fresh",IF('JDL Misc Income'!F88&lt;&gt;"",'JDL Misc Income'!F88*'JDL PROCESSING FEES MASTER'!F$10,""),IF('JDL Misc Income'!F88&lt;&gt;"",'JDL Misc Income'!F88*'JDL PROCESSING FEES MASTER'!F$14,""))),"")</f>
        <v/>
      </c>
      <c r="I88" s="20" t="str">
        <f>IF(F88&lt;&gt;"",IF(IF(G88="Fresh",IF('JDL Misc Income'!F88&lt;&gt;"",'JDL Misc Income'!F88*'JDL PROCESSING FEES MASTER'!F$10,""),IF('JDL Misc Income'!F88&lt;&gt;"",'JDL Misc Income'!F88*'JDL PROCESSING FEES MASTER'!F$14,""))&gt;'JDL PROCESSING FEES MASTER'!G$8,'JDL PROCESSING FEES MASTER'!G$8,IF(G88="Fresh",IF('JDL Misc Income'!F88&lt;&gt;"",'JDL Misc Income'!F88*'JDL PROCESSING FEES MASTER'!F$10,""),IF('JDL Misc Income'!F88&lt;&gt;"",'JDL Misc Income'!F88*'JDL PROCESSING FEES MASTER'!F$14,""))),"")</f>
        <v/>
      </c>
      <c r="J88" s="20" t="str">
        <f t="shared" si="1"/>
        <v/>
      </c>
    </row>
    <row r="89" spans="1:10" ht="38.25" customHeight="1" x14ac:dyDescent="0.3">
      <c r="A89" s="1">
        <v>84</v>
      </c>
      <c r="B89" s="15" t="str">
        <f>IF('[1]Main Sheet'!C88="","",358)</f>
        <v/>
      </c>
      <c r="C89" s="16" t="str">
        <f>IF('[1]Main Sheet'!C88="","",'[1]Main Sheet'!C88)</f>
        <v/>
      </c>
      <c r="D89" s="17" t="str">
        <f>IF('[1]Main Sheet'!D88="","",'[1]Main Sheet'!D88)</f>
        <v/>
      </c>
      <c r="E89" s="15" t="str">
        <f>IF('[1]Main Sheet'!E88="","",'[1]Main Sheet'!E88)</f>
        <v/>
      </c>
      <c r="F89" s="15" t="str">
        <f>IF('[1]Main Sheet'!I88="","",'[1]Main Sheet'!I88)</f>
        <v/>
      </c>
      <c r="G89" s="15" t="str">
        <f>IF('[1]Main Sheet'!L88="","",'[1]Main Sheet'!L88)</f>
        <v/>
      </c>
      <c r="H89" s="20" t="str">
        <f>IF(F89&lt;&gt;"",IF(IF(G89="Fresh",IF('JDL Misc Income'!F89&lt;&gt;"",'JDL Misc Income'!F89*'JDL PROCESSING FEES MASTER'!F$10,""),IF('JDL Misc Income'!F89&lt;&gt;"",'JDL Misc Income'!F89*'JDL PROCESSING FEES MASTER'!F$14,""))&gt;'JDL PROCESSING FEES MASTER'!G$10,'JDL PROCESSING FEES MASTER'!G$10,IF(G89="Fresh",IF('JDL Misc Income'!F89&lt;&gt;"",'JDL Misc Income'!F89*'JDL PROCESSING FEES MASTER'!F$10,""),IF('JDL Misc Income'!F89&lt;&gt;"",'JDL Misc Income'!F89*'JDL PROCESSING FEES MASTER'!F$14,""))),"")</f>
        <v/>
      </c>
      <c r="I89" s="20" t="str">
        <f>IF(F89&lt;&gt;"",IF(IF(G89="Fresh",IF('JDL Misc Income'!F89&lt;&gt;"",'JDL Misc Income'!F89*'JDL PROCESSING FEES MASTER'!F$10,""),IF('JDL Misc Income'!F89&lt;&gt;"",'JDL Misc Income'!F89*'JDL PROCESSING FEES MASTER'!F$14,""))&gt;'JDL PROCESSING FEES MASTER'!G$8,'JDL PROCESSING FEES MASTER'!G$8,IF(G89="Fresh",IF('JDL Misc Income'!F89&lt;&gt;"",'JDL Misc Income'!F89*'JDL PROCESSING FEES MASTER'!F$10,""),IF('JDL Misc Income'!F89&lt;&gt;"",'JDL Misc Income'!F89*'JDL PROCESSING FEES MASTER'!F$14,""))),"")</f>
        <v/>
      </c>
      <c r="J89" s="20" t="str">
        <f t="shared" si="1"/>
        <v/>
      </c>
    </row>
    <row r="90" spans="1:10" ht="38.25" customHeight="1" x14ac:dyDescent="0.3">
      <c r="A90" s="1">
        <v>85</v>
      </c>
      <c r="B90" s="15" t="str">
        <f>IF('[1]Main Sheet'!C89="","",358)</f>
        <v/>
      </c>
      <c r="C90" s="16" t="str">
        <f>IF('[1]Main Sheet'!C89="","",'[1]Main Sheet'!C89)</f>
        <v/>
      </c>
      <c r="D90" s="17" t="str">
        <f>IF('[1]Main Sheet'!D89="","",'[1]Main Sheet'!D89)</f>
        <v/>
      </c>
      <c r="E90" s="15" t="str">
        <f>IF('[1]Main Sheet'!E89="","",'[1]Main Sheet'!E89)</f>
        <v/>
      </c>
      <c r="F90" s="15" t="str">
        <f>IF('[1]Main Sheet'!I89="","",'[1]Main Sheet'!I89)</f>
        <v/>
      </c>
      <c r="G90" s="15" t="str">
        <f>IF('[1]Main Sheet'!L89="","",'[1]Main Sheet'!L89)</f>
        <v/>
      </c>
      <c r="H90" s="20" t="str">
        <f>IF(F90&lt;&gt;"",IF(IF(G90="Fresh",IF('JDL Misc Income'!F90&lt;&gt;"",'JDL Misc Income'!F90*'JDL PROCESSING FEES MASTER'!F$10,""),IF('JDL Misc Income'!F90&lt;&gt;"",'JDL Misc Income'!F90*'JDL PROCESSING FEES MASTER'!F$14,""))&gt;'JDL PROCESSING FEES MASTER'!G$10,'JDL PROCESSING FEES MASTER'!G$10,IF(G90="Fresh",IF('JDL Misc Income'!F90&lt;&gt;"",'JDL Misc Income'!F90*'JDL PROCESSING FEES MASTER'!F$10,""),IF('JDL Misc Income'!F90&lt;&gt;"",'JDL Misc Income'!F90*'JDL PROCESSING FEES MASTER'!F$14,""))),"")</f>
        <v/>
      </c>
      <c r="I90" s="20" t="str">
        <f>IF(F90&lt;&gt;"",IF(IF(G90="Fresh",IF('JDL Misc Income'!F90&lt;&gt;"",'JDL Misc Income'!F90*'JDL PROCESSING FEES MASTER'!F$10,""),IF('JDL Misc Income'!F90&lt;&gt;"",'JDL Misc Income'!F90*'JDL PROCESSING FEES MASTER'!F$14,""))&gt;'JDL PROCESSING FEES MASTER'!G$8,'JDL PROCESSING FEES MASTER'!G$8,IF(G90="Fresh",IF('JDL Misc Income'!F90&lt;&gt;"",'JDL Misc Income'!F90*'JDL PROCESSING FEES MASTER'!F$10,""),IF('JDL Misc Income'!F90&lt;&gt;"",'JDL Misc Income'!F90*'JDL PROCESSING FEES MASTER'!F$14,""))),"")</f>
        <v/>
      </c>
      <c r="J90" s="20" t="str">
        <f t="shared" si="1"/>
        <v/>
      </c>
    </row>
    <row r="91" spans="1:10" ht="38.25" customHeight="1" x14ac:dyDescent="0.3">
      <c r="A91" s="1">
        <v>86</v>
      </c>
      <c r="B91" s="15" t="str">
        <f>IF('[1]Main Sheet'!C90="","",358)</f>
        <v/>
      </c>
      <c r="C91" s="16" t="str">
        <f>IF('[1]Main Sheet'!C90="","",'[1]Main Sheet'!C90)</f>
        <v/>
      </c>
      <c r="D91" s="17" t="str">
        <f>IF('[1]Main Sheet'!D90="","",'[1]Main Sheet'!D90)</f>
        <v/>
      </c>
      <c r="E91" s="15" t="str">
        <f>IF('[1]Main Sheet'!E90="","",'[1]Main Sheet'!E90)</f>
        <v/>
      </c>
      <c r="F91" s="15" t="str">
        <f>IF('[1]Main Sheet'!I90="","",'[1]Main Sheet'!I90)</f>
        <v/>
      </c>
      <c r="G91" s="15" t="str">
        <f>IF('[1]Main Sheet'!L90="","",'[1]Main Sheet'!L90)</f>
        <v/>
      </c>
      <c r="H91" s="20" t="str">
        <f>IF(F91&lt;&gt;"",IF(IF(G91="Fresh",IF('JDL Misc Income'!F91&lt;&gt;"",'JDL Misc Income'!F91*'JDL PROCESSING FEES MASTER'!F$10,""),IF('JDL Misc Income'!F91&lt;&gt;"",'JDL Misc Income'!F91*'JDL PROCESSING FEES MASTER'!F$14,""))&gt;'JDL PROCESSING FEES MASTER'!G$10,'JDL PROCESSING FEES MASTER'!G$10,IF(G91="Fresh",IF('JDL Misc Income'!F91&lt;&gt;"",'JDL Misc Income'!F91*'JDL PROCESSING FEES MASTER'!F$10,""),IF('JDL Misc Income'!F91&lt;&gt;"",'JDL Misc Income'!F91*'JDL PROCESSING FEES MASTER'!F$14,""))),"")</f>
        <v/>
      </c>
      <c r="I91" s="20" t="str">
        <f>IF(F91&lt;&gt;"",IF(IF(G91="Fresh",IF('JDL Misc Income'!F91&lt;&gt;"",'JDL Misc Income'!F91*'JDL PROCESSING FEES MASTER'!F$10,""),IF('JDL Misc Income'!F91&lt;&gt;"",'JDL Misc Income'!F91*'JDL PROCESSING FEES MASTER'!F$14,""))&gt;'JDL PROCESSING FEES MASTER'!G$8,'JDL PROCESSING FEES MASTER'!G$8,IF(G91="Fresh",IF('JDL Misc Income'!F91&lt;&gt;"",'JDL Misc Income'!F91*'JDL PROCESSING FEES MASTER'!F$10,""),IF('JDL Misc Income'!F91&lt;&gt;"",'JDL Misc Income'!F91*'JDL PROCESSING FEES MASTER'!F$14,""))),"")</f>
        <v/>
      </c>
      <c r="J91" s="20" t="str">
        <f t="shared" si="1"/>
        <v/>
      </c>
    </row>
    <row r="92" spans="1:10" ht="38.25" customHeight="1" x14ac:dyDescent="0.3">
      <c r="A92" s="1">
        <v>87</v>
      </c>
      <c r="B92" s="15" t="str">
        <f>IF('[1]Main Sheet'!C91="","",358)</f>
        <v/>
      </c>
      <c r="C92" s="16" t="str">
        <f>IF('[1]Main Sheet'!C91="","",'[1]Main Sheet'!C91)</f>
        <v/>
      </c>
      <c r="D92" s="17" t="str">
        <f>IF('[1]Main Sheet'!D91="","",'[1]Main Sheet'!D91)</f>
        <v/>
      </c>
      <c r="E92" s="15" t="str">
        <f>IF('[1]Main Sheet'!E91="","",'[1]Main Sheet'!E91)</f>
        <v/>
      </c>
      <c r="F92" s="15" t="str">
        <f>IF('[1]Main Sheet'!I91="","",'[1]Main Sheet'!I91)</f>
        <v/>
      </c>
      <c r="G92" s="15" t="str">
        <f>IF('[1]Main Sheet'!L91="","",'[1]Main Sheet'!L91)</f>
        <v/>
      </c>
      <c r="H92" s="20" t="str">
        <f>IF(F92&lt;&gt;"",IF(IF(G92="Fresh",IF('JDL Misc Income'!F92&lt;&gt;"",'JDL Misc Income'!F92*'JDL PROCESSING FEES MASTER'!F$10,""),IF('JDL Misc Income'!F92&lt;&gt;"",'JDL Misc Income'!F92*'JDL PROCESSING FEES MASTER'!F$14,""))&gt;'JDL PROCESSING FEES MASTER'!G$10,'JDL PROCESSING FEES MASTER'!G$10,IF(G92="Fresh",IF('JDL Misc Income'!F92&lt;&gt;"",'JDL Misc Income'!F92*'JDL PROCESSING FEES MASTER'!F$10,""),IF('JDL Misc Income'!F92&lt;&gt;"",'JDL Misc Income'!F92*'JDL PROCESSING FEES MASTER'!F$14,""))),"")</f>
        <v/>
      </c>
      <c r="I92" s="20" t="str">
        <f>IF(F92&lt;&gt;"",IF(IF(G92="Fresh",IF('JDL Misc Income'!F92&lt;&gt;"",'JDL Misc Income'!F92*'JDL PROCESSING FEES MASTER'!F$10,""),IF('JDL Misc Income'!F92&lt;&gt;"",'JDL Misc Income'!F92*'JDL PROCESSING FEES MASTER'!F$14,""))&gt;'JDL PROCESSING FEES MASTER'!G$8,'JDL PROCESSING FEES MASTER'!G$8,IF(G92="Fresh",IF('JDL Misc Income'!F92&lt;&gt;"",'JDL Misc Income'!F92*'JDL PROCESSING FEES MASTER'!F$10,""),IF('JDL Misc Income'!F92&lt;&gt;"",'JDL Misc Income'!F92*'JDL PROCESSING FEES MASTER'!F$14,""))),"")</f>
        <v/>
      </c>
      <c r="J92" s="20" t="str">
        <f t="shared" si="1"/>
        <v/>
      </c>
    </row>
    <row r="93" spans="1:10" ht="38.25" customHeight="1" x14ac:dyDescent="0.3">
      <c r="A93" s="1">
        <v>88</v>
      </c>
      <c r="B93" s="15" t="str">
        <f>IF('[1]Main Sheet'!C92="","",358)</f>
        <v/>
      </c>
      <c r="C93" s="16" t="str">
        <f>IF('[1]Main Sheet'!C92="","",'[1]Main Sheet'!C92)</f>
        <v/>
      </c>
      <c r="D93" s="17" t="str">
        <f>IF('[1]Main Sheet'!D92="","",'[1]Main Sheet'!D92)</f>
        <v/>
      </c>
      <c r="E93" s="15" t="str">
        <f>IF('[1]Main Sheet'!E92="","",'[1]Main Sheet'!E92)</f>
        <v/>
      </c>
      <c r="F93" s="15" t="str">
        <f>IF('[1]Main Sheet'!I92="","",'[1]Main Sheet'!I92)</f>
        <v/>
      </c>
      <c r="G93" s="15" t="str">
        <f>IF('[1]Main Sheet'!L92="","",'[1]Main Sheet'!L92)</f>
        <v/>
      </c>
      <c r="H93" s="20" t="str">
        <f>IF(F93&lt;&gt;"",IF(IF(G93="Fresh",IF('JDL Misc Income'!F93&lt;&gt;"",'JDL Misc Income'!F93*'JDL PROCESSING FEES MASTER'!F$10,""),IF('JDL Misc Income'!F93&lt;&gt;"",'JDL Misc Income'!F93*'JDL PROCESSING FEES MASTER'!F$14,""))&gt;'JDL PROCESSING FEES MASTER'!G$10,'JDL PROCESSING FEES MASTER'!G$10,IF(G93="Fresh",IF('JDL Misc Income'!F93&lt;&gt;"",'JDL Misc Income'!F93*'JDL PROCESSING FEES MASTER'!F$10,""),IF('JDL Misc Income'!F93&lt;&gt;"",'JDL Misc Income'!F93*'JDL PROCESSING FEES MASTER'!F$14,""))),"")</f>
        <v/>
      </c>
      <c r="I93" s="20" t="str">
        <f>IF(F93&lt;&gt;"",IF(IF(G93="Fresh",IF('JDL Misc Income'!F93&lt;&gt;"",'JDL Misc Income'!F93*'JDL PROCESSING FEES MASTER'!F$10,""),IF('JDL Misc Income'!F93&lt;&gt;"",'JDL Misc Income'!F93*'JDL PROCESSING FEES MASTER'!F$14,""))&gt;'JDL PROCESSING FEES MASTER'!G$8,'JDL PROCESSING FEES MASTER'!G$8,IF(G93="Fresh",IF('JDL Misc Income'!F93&lt;&gt;"",'JDL Misc Income'!F93*'JDL PROCESSING FEES MASTER'!F$10,""),IF('JDL Misc Income'!F93&lt;&gt;"",'JDL Misc Income'!F93*'JDL PROCESSING FEES MASTER'!F$14,""))),"")</f>
        <v/>
      </c>
      <c r="J93" s="20" t="str">
        <f t="shared" si="1"/>
        <v/>
      </c>
    </row>
    <row r="94" spans="1:10" ht="38.25" customHeight="1" x14ac:dyDescent="0.3">
      <c r="A94" s="1">
        <v>89</v>
      </c>
      <c r="B94" s="15" t="str">
        <f>IF('[1]Main Sheet'!C93="","",358)</f>
        <v/>
      </c>
      <c r="C94" s="16" t="str">
        <f>IF('[1]Main Sheet'!C93="","",'[1]Main Sheet'!C93)</f>
        <v/>
      </c>
      <c r="D94" s="17" t="str">
        <f>IF('[1]Main Sheet'!D93="","",'[1]Main Sheet'!D93)</f>
        <v/>
      </c>
      <c r="E94" s="15" t="str">
        <f>IF('[1]Main Sheet'!E93="","",'[1]Main Sheet'!E93)</f>
        <v/>
      </c>
      <c r="F94" s="15" t="str">
        <f>IF('[1]Main Sheet'!I93="","",'[1]Main Sheet'!I93)</f>
        <v/>
      </c>
      <c r="G94" s="15" t="str">
        <f>IF('[1]Main Sheet'!L93="","",'[1]Main Sheet'!L93)</f>
        <v/>
      </c>
      <c r="H94" s="20" t="str">
        <f>IF(F94&lt;&gt;"",IF(IF(G94="Fresh",IF('JDL Misc Income'!F94&lt;&gt;"",'JDL Misc Income'!F94*'JDL PROCESSING FEES MASTER'!F$10,""),IF('JDL Misc Income'!F94&lt;&gt;"",'JDL Misc Income'!F94*'JDL PROCESSING FEES MASTER'!F$14,""))&gt;'JDL PROCESSING FEES MASTER'!G$10,'JDL PROCESSING FEES MASTER'!G$10,IF(G94="Fresh",IF('JDL Misc Income'!F94&lt;&gt;"",'JDL Misc Income'!F94*'JDL PROCESSING FEES MASTER'!F$10,""),IF('JDL Misc Income'!F94&lt;&gt;"",'JDL Misc Income'!F94*'JDL PROCESSING FEES MASTER'!F$14,""))),"")</f>
        <v/>
      </c>
      <c r="I94" s="20" t="str">
        <f>IF(F94&lt;&gt;"",IF(IF(G94="Fresh",IF('JDL Misc Income'!F94&lt;&gt;"",'JDL Misc Income'!F94*'JDL PROCESSING FEES MASTER'!F$10,""),IF('JDL Misc Income'!F94&lt;&gt;"",'JDL Misc Income'!F94*'JDL PROCESSING FEES MASTER'!F$14,""))&gt;'JDL PROCESSING FEES MASTER'!G$8,'JDL PROCESSING FEES MASTER'!G$8,IF(G94="Fresh",IF('JDL Misc Income'!F94&lt;&gt;"",'JDL Misc Income'!F94*'JDL PROCESSING FEES MASTER'!F$10,""),IF('JDL Misc Income'!F94&lt;&gt;"",'JDL Misc Income'!F94*'JDL PROCESSING FEES MASTER'!F$14,""))),"")</f>
        <v/>
      </c>
      <c r="J94" s="20" t="str">
        <f t="shared" si="1"/>
        <v/>
      </c>
    </row>
    <row r="95" spans="1:10" ht="38.25" customHeight="1" x14ac:dyDescent="0.3">
      <c r="A95" s="1">
        <v>90</v>
      </c>
      <c r="B95" s="15" t="str">
        <f>IF('[1]Main Sheet'!C94="","",358)</f>
        <v/>
      </c>
      <c r="C95" s="16" t="str">
        <f>IF('[1]Main Sheet'!C94="","",'[1]Main Sheet'!C94)</f>
        <v/>
      </c>
      <c r="D95" s="17" t="str">
        <f>IF('[1]Main Sheet'!D94="","",'[1]Main Sheet'!D94)</f>
        <v/>
      </c>
      <c r="E95" s="15" t="str">
        <f>IF('[1]Main Sheet'!E94="","",'[1]Main Sheet'!E94)</f>
        <v/>
      </c>
      <c r="F95" s="15" t="str">
        <f>IF('[1]Main Sheet'!I94="","",'[1]Main Sheet'!I94)</f>
        <v/>
      </c>
      <c r="G95" s="15" t="str">
        <f>IF('[1]Main Sheet'!L94="","",'[1]Main Sheet'!L94)</f>
        <v/>
      </c>
      <c r="H95" s="20" t="str">
        <f>IF(F95&lt;&gt;"",IF(IF(G95="Fresh",IF('JDL Misc Income'!F95&lt;&gt;"",'JDL Misc Income'!F95*'JDL PROCESSING FEES MASTER'!F$10,""),IF('JDL Misc Income'!F95&lt;&gt;"",'JDL Misc Income'!F95*'JDL PROCESSING FEES MASTER'!F$14,""))&gt;'JDL PROCESSING FEES MASTER'!G$10,'JDL PROCESSING FEES MASTER'!G$10,IF(G95="Fresh",IF('JDL Misc Income'!F95&lt;&gt;"",'JDL Misc Income'!F95*'JDL PROCESSING FEES MASTER'!F$10,""),IF('JDL Misc Income'!F95&lt;&gt;"",'JDL Misc Income'!F95*'JDL PROCESSING FEES MASTER'!F$14,""))),"")</f>
        <v/>
      </c>
      <c r="I95" s="20" t="str">
        <f>IF(F95&lt;&gt;"",IF(IF(G95="Fresh",IF('JDL Misc Income'!F95&lt;&gt;"",'JDL Misc Income'!F95*'JDL PROCESSING FEES MASTER'!F$10,""),IF('JDL Misc Income'!F95&lt;&gt;"",'JDL Misc Income'!F95*'JDL PROCESSING FEES MASTER'!F$14,""))&gt;'JDL PROCESSING FEES MASTER'!G$8,'JDL PROCESSING FEES MASTER'!G$8,IF(G95="Fresh",IF('JDL Misc Income'!F95&lt;&gt;"",'JDL Misc Income'!F95*'JDL PROCESSING FEES MASTER'!F$10,""),IF('JDL Misc Income'!F95&lt;&gt;"",'JDL Misc Income'!F95*'JDL PROCESSING FEES MASTER'!F$14,""))),"")</f>
        <v/>
      </c>
      <c r="J95" s="20" t="str">
        <f t="shared" si="1"/>
        <v/>
      </c>
    </row>
    <row r="96" spans="1:10" ht="38.25" customHeight="1" x14ac:dyDescent="0.3">
      <c r="A96" s="1">
        <v>91</v>
      </c>
      <c r="B96" s="15" t="str">
        <f>IF('[1]Main Sheet'!C95="","",358)</f>
        <v/>
      </c>
      <c r="C96" s="16" t="str">
        <f>IF('[1]Main Sheet'!C95="","",'[1]Main Sheet'!C95)</f>
        <v/>
      </c>
      <c r="D96" s="17" t="str">
        <f>IF('[1]Main Sheet'!D95="","",'[1]Main Sheet'!D95)</f>
        <v/>
      </c>
      <c r="E96" s="15" t="str">
        <f>IF('[1]Main Sheet'!E95="","",'[1]Main Sheet'!E95)</f>
        <v/>
      </c>
      <c r="F96" s="15" t="str">
        <f>IF('[1]Main Sheet'!I95="","",'[1]Main Sheet'!I95)</f>
        <v/>
      </c>
      <c r="G96" s="15" t="str">
        <f>IF('[1]Main Sheet'!L95="","",'[1]Main Sheet'!L95)</f>
        <v/>
      </c>
      <c r="H96" s="20" t="str">
        <f>IF(F96&lt;&gt;"",IF(IF(G96="Fresh",IF('JDL Misc Income'!F96&lt;&gt;"",'JDL Misc Income'!F96*'JDL PROCESSING FEES MASTER'!F$10,""),IF('JDL Misc Income'!F96&lt;&gt;"",'JDL Misc Income'!F96*'JDL PROCESSING FEES MASTER'!F$14,""))&gt;'JDL PROCESSING FEES MASTER'!G$10,'JDL PROCESSING FEES MASTER'!G$10,IF(G96="Fresh",IF('JDL Misc Income'!F96&lt;&gt;"",'JDL Misc Income'!F96*'JDL PROCESSING FEES MASTER'!F$10,""),IF('JDL Misc Income'!F96&lt;&gt;"",'JDL Misc Income'!F96*'JDL PROCESSING FEES MASTER'!F$14,""))),"")</f>
        <v/>
      </c>
      <c r="I96" s="20" t="str">
        <f>IF(F96&lt;&gt;"",IF(IF(G96="Fresh",IF('JDL Misc Income'!F96&lt;&gt;"",'JDL Misc Income'!F96*'JDL PROCESSING FEES MASTER'!F$10,""),IF('JDL Misc Income'!F96&lt;&gt;"",'JDL Misc Income'!F96*'JDL PROCESSING FEES MASTER'!F$14,""))&gt;'JDL PROCESSING FEES MASTER'!G$8,'JDL PROCESSING FEES MASTER'!G$8,IF(G96="Fresh",IF('JDL Misc Income'!F96&lt;&gt;"",'JDL Misc Income'!F96*'JDL PROCESSING FEES MASTER'!F$10,""),IF('JDL Misc Income'!F96&lt;&gt;"",'JDL Misc Income'!F96*'JDL PROCESSING FEES MASTER'!F$14,""))),"")</f>
        <v/>
      </c>
      <c r="J96" s="20" t="str">
        <f t="shared" si="1"/>
        <v/>
      </c>
    </row>
    <row r="97" spans="1:10" ht="38.25" customHeight="1" x14ac:dyDescent="0.3">
      <c r="A97" s="1">
        <v>92</v>
      </c>
      <c r="B97" s="15" t="str">
        <f>IF('[1]Main Sheet'!C96="","",358)</f>
        <v/>
      </c>
      <c r="C97" s="16" t="str">
        <f>IF('[1]Main Sheet'!C96="","",'[1]Main Sheet'!C96)</f>
        <v/>
      </c>
      <c r="D97" s="17" t="str">
        <f>IF('[1]Main Sheet'!D96="","",'[1]Main Sheet'!D96)</f>
        <v/>
      </c>
      <c r="E97" s="15" t="str">
        <f>IF('[1]Main Sheet'!E96="","",'[1]Main Sheet'!E96)</f>
        <v/>
      </c>
      <c r="F97" s="15" t="str">
        <f>IF('[1]Main Sheet'!I96="","",'[1]Main Sheet'!I96)</f>
        <v/>
      </c>
      <c r="G97" s="15" t="str">
        <f>IF('[1]Main Sheet'!L96="","",'[1]Main Sheet'!L96)</f>
        <v/>
      </c>
      <c r="H97" s="20" t="str">
        <f>IF(F97&lt;&gt;"",IF(IF(G97="Fresh",IF('JDL Misc Income'!F97&lt;&gt;"",'JDL Misc Income'!F97*'JDL PROCESSING FEES MASTER'!F$10,""),IF('JDL Misc Income'!F97&lt;&gt;"",'JDL Misc Income'!F97*'JDL PROCESSING FEES MASTER'!F$14,""))&gt;'JDL PROCESSING FEES MASTER'!G$10,'JDL PROCESSING FEES MASTER'!G$10,IF(G97="Fresh",IF('JDL Misc Income'!F97&lt;&gt;"",'JDL Misc Income'!F97*'JDL PROCESSING FEES MASTER'!F$10,""),IF('JDL Misc Income'!F97&lt;&gt;"",'JDL Misc Income'!F97*'JDL PROCESSING FEES MASTER'!F$14,""))),"")</f>
        <v/>
      </c>
      <c r="I97" s="20" t="str">
        <f>IF(F97&lt;&gt;"",IF(IF(G97="Fresh",IF('JDL Misc Income'!F97&lt;&gt;"",'JDL Misc Income'!F97*'JDL PROCESSING FEES MASTER'!F$10,""),IF('JDL Misc Income'!F97&lt;&gt;"",'JDL Misc Income'!F97*'JDL PROCESSING FEES MASTER'!F$14,""))&gt;'JDL PROCESSING FEES MASTER'!G$8,'JDL PROCESSING FEES MASTER'!G$8,IF(G97="Fresh",IF('JDL Misc Income'!F97&lt;&gt;"",'JDL Misc Income'!F97*'JDL PROCESSING FEES MASTER'!F$10,""),IF('JDL Misc Income'!F97&lt;&gt;"",'JDL Misc Income'!F97*'JDL PROCESSING FEES MASTER'!F$14,""))),"")</f>
        <v/>
      </c>
      <c r="J97" s="20" t="str">
        <f t="shared" si="1"/>
        <v/>
      </c>
    </row>
    <row r="98" spans="1:10" ht="38.25" customHeight="1" x14ac:dyDescent="0.3">
      <c r="A98" s="1">
        <v>93</v>
      </c>
      <c r="B98" s="15" t="str">
        <f>IF('[1]Main Sheet'!C97="","",358)</f>
        <v/>
      </c>
      <c r="C98" s="16" t="str">
        <f>IF('[1]Main Sheet'!C97="","",'[1]Main Sheet'!C97)</f>
        <v/>
      </c>
      <c r="D98" s="17" t="str">
        <f>IF('[1]Main Sheet'!D97="","",'[1]Main Sheet'!D97)</f>
        <v/>
      </c>
      <c r="E98" s="15" t="str">
        <f>IF('[1]Main Sheet'!E97="","",'[1]Main Sheet'!E97)</f>
        <v/>
      </c>
      <c r="F98" s="15" t="str">
        <f>IF('[1]Main Sheet'!I97="","",'[1]Main Sheet'!I97)</f>
        <v/>
      </c>
      <c r="G98" s="15" t="str">
        <f>IF('[1]Main Sheet'!L97="","",'[1]Main Sheet'!L97)</f>
        <v/>
      </c>
      <c r="H98" s="20" t="str">
        <f>IF(F98&lt;&gt;"",IF(IF(G98="Fresh",IF('JDL Misc Income'!F98&lt;&gt;"",'JDL Misc Income'!F98*'JDL PROCESSING FEES MASTER'!F$10,""),IF('JDL Misc Income'!F98&lt;&gt;"",'JDL Misc Income'!F98*'JDL PROCESSING FEES MASTER'!F$14,""))&gt;'JDL PROCESSING FEES MASTER'!G$10,'JDL PROCESSING FEES MASTER'!G$10,IF(G98="Fresh",IF('JDL Misc Income'!F98&lt;&gt;"",'JDL Misc Income'!F98*'JDL PROCESSING FEES MASTER'!F$10,""),IF('JDL Misc Income'!F98&lt;&gt;"",'JDL Misc Income'!F98*'JDL PROCESSING FEES MASTER'!F$14,""))),"")</f>
        <v/>
      </c>
      <c r="I98" s="20" t="str">
        <f>IF(F98&lt;&gt;"",IF(IF(G98="Fresh",IF('JDL Misc Income'!F98&lt;&gt;"",'JDL Misc Income'!F98*'JDL PROCESSING FEES MASTER'!F$10,""),IF('JDL Misc Income'!F98&lt;&gt;"",'JDL Misc Income'!F98*'JDL PROCESSING FEES MASTER'!F$14,""))&gt;'JDL PROCESSING FEES MASTER'!G$8,'JDL PROCESSING FEES MASTER'!G$8,IF(G98="Fresh",IF('JDL Misc Income'!F98&lt;&gt;"",'JDL Misc Income'!F98*'JDL PROCESSING FEES MASTER'!F$10,""),IF('JDL Misc Income'!F98&lt;&gt;"",'JDL Misc Income'!F98*'JDL PROCESSING FEES MASTER'!F$14,""))),"")</f>
        <v/>
      </c>
      <c r="J98" s="20" t="str">
        <f t="shared" si="1"/>
        <v/>
      </c>
    </row>
    <row r="99" spans="1:10" ht="38.25" customHeight="1" x14ac:dyDescent="0.3">
      <c r="A99" s="1">
        <v>94</v>
      </c>
      <c r="B99" s="15" t="str">
        <f>IF('[1]Main Sheet'!C98="","",358)</f>
        <v/>
      </c>
      <c r="C99" s="16" t="str">
        <f>IF('[1]Main Sheet'!C98="","",'[1]Main Sheet'!C98)</f>
        <v/>
      </c>
      <c r="D99" s="17" t="str">
        <f>IF('[1]Main Sheet'!D98="","",'[1]Main Sheet'!D98)</f>
        <v/>
      </c>
      <c r="E99" s="15" t="str">
        <f>IF('[1]Main Sheet'!E98="","",'[1]Main Sheet'!E98)</f>
        <v/>
      </c>
      <c r="F99" s="15" t="str">
        <f>IF('[1]Main Sheet'!I98="","",'[1]Main Sheet'!I98)</f>
        <v/>
      </c>
      <c r="G99" s="15" t="str">
        <f>IF('[1]Main Sheet'!L98="","",'[1]Main Sheet'!L98)</f>
        <v/>
      </c>
      <c r="H99" s="20" t="str">
        <f>IF(F99&lt;&gt;"",IF(IF(G99="Fresh",IF('JDL Misc Income'!F99&lt;&gt;"",'JDL Misc Income'!F99*'JDL PROCESSING FEES MASTER'!F$10,""),IF('JDL Misc Income'!F99&lt;&gt;"",'JDL Misc Income'!F99*'JDL PROCESSING FEES MASTER'!F$14,""))&gt;'JDL PROCESSING FEES MASTER'!G$10,'JDL PROCESSING FEES MASTER'!G$10,IF(G99="Fresh",IF('JDL Misc Income'!F99&lt;&gt;"",'JDL Misc Income'!F99*'JDL PROCESSING FEES MASTER'!F$10,""),IF('JDL Misc Income'!F99&lt;&gt;"",'JDL Misc Income'!F99*'JDL PROCESSING FEES MASTER'!F$14,""))),"")</f>
        <v/>
      </c>
      <c r="I99" s="20" t="str">
        <f>IF(F99&lt;&gt;"",IF(IF(G99="Fresh",IF('JDL Misc Income'!F99&lt;&gt;"",'JDL Misc Income'!F99*'JDL PROCESSING FEES MASTER'!F$10,""),IF('JDL Misc Income'!F99&lt;&gt;"",'JDL Misc Income'!F99*'JDL PROCESSING FEES MASTER'!F$14,""))&gt;'JDL PROCESSING FEES MASTER'!G$8,'JDL PROCESSING FEES MASTER'!G$8,IF(G99="Fresh",IF('JDL Misc Income'!F99&lt;&gt;"",'JDL Misc Income'!F99*'JDL PROCESSING FEES MASTER'!F$10,""),IF('JDL Misc Income'!F99&lt;&gt;"",'JDL Misc Income'!F99*'JDL PROCESSING FEES MASTER'!F$14,""))),"")</f>
        <v/>
      </c>
      <c r="J99" s="20" t="str">
        <f t="shared" si="1"/>
        <v/>
      </c>
    </row>
    <row r="100" spans="1:10" ht="38.25" customHeight="1" x14ac:dyDescent="0.3">
      <c r="A100" s="1">
        <v>95</v>
      </c>
      <c r="B100" s="15" t="str">
        <f>IF('[1]Main Sheet'!C99="","",358)</f>
        <v/>
      </c>
      <c r="C100" s="16" t="str">
        <f>IF('[1]Main Sheet'!C99="","",'[1]Main Sheet'!C99)</f>
        <v/>
      </c>
      <c r="D100" s="17" t="str">
        <f>IF('[1]Main Sheet'!D99="","",'[1]Main Sheet'!D99)</f>
        <v/>
      </c>
      <c r="E100" s="15" t="str">
        <f>IF('[1]Main Sheet'!E99="","",'[1]Main Sheet'!E99)</f>
        <v/>
      </c>
      <c r="F100" s="15" t="str">
        <f>IF('[1]Main Sheet'!I99="","",'[1]Main Sheet'!I99)</f>
        <v/>
      </c>
      <c r="G100" s="15" t="str">
        <f>IF('[1]Main Sheet'!L99="","",'[1]Main Sheet'!L99)</f>
        <v/>
      </c>
      <c r="H100" s="20" t="str">
        <f>IF(F100&lt;&gt;"",IF(IF(G100="Fresh",IF('JDL Misc Income'!F100&lt;&gt;"",'JDL Misc Income'!F100*'JDL PROCESSING FEES MASTER'!F$10,""),IF('JDL Misc Income'!F100&lt;&gt;"",'JDL Misc Income'!F100*'JDL PROCESSING FEES MASTER'!F$14,""))&gt;'JDL PROCESSING FEES MASTER'!G$10,'JDL PROCESSING FEES MASTER'!G$10,IF(G100="Fresh",IF('JDL Misc Income'!F100&lt;&gt;"",'JDL Misc Income'!F100*'JDL PROCESSING FEES MASTER'!F$10,""),IF('JDL Misc Income'!F100&lt;&gt;"",'JDL Misc Income'!F100*'JDL PROCESSING FEES MASTER'!F$14,""))),"")</f>
        <v/>
      </c>
      <c r="I100" s="20" t="str">
        <f>IF(F100&lt;&gt;"",IF(IF(G100="Fresh",IF('JDL Misc Income'!F100&lt;&gt;"",'JDL Misc Income'!F100*'JDL PROCESSING FEES MASTER'!F$10,""),IF('JDL Misc Income'!F100&lt;&gt;"",'JDL Misc Income'!F100*'JDL PROCESSING FEES MASTER'!F$14,""))&gt;'JDL PROCESSING FEES MASTER'!G$8,'JDL PROCESSING FEES MASTER'!G$8,IF(G100="Fresh",IF('JDL Misc Income'!F100&lt;&gt;"",'JDL Misc Income'!F100*'JDL PROCESSING FEES MASTER'!F$10,""),IF('JDL Misc Income'!F100&lt;&gt;"",'JDL Misc Income'!F100*'JDL PROCESSING FEES MASTER'!F$14,""))),"")</f>
        <v/>
      </c>
      <c r="J100" s="20" t="str">
        <f t="shared" si="1"/>
        <v/>
      </c>
    </row>
    <row r="101" spans="1:10" ht="38.25" customHeight="1" x14ac:dyDescent="0.3">
      <c r="A101" s="1">
        <v>96</v>
      </c>
      <c r="B101" s="15" t="str">
        <f>IF('[1]Main Sheet'!C100="","",358)</f>
        <v/>
      </c>
      <c r="C101" s="16" t="str">
        <f>IF('[1]Main Sheet'!C100="","",'[1]Main Sheet'!C100)</f>
        <v/>
      </c>
      <c r="D101" s="17" t="str">
        <f>IF('[1]Main Sheet'!D100="","",'[1]Main Sheet'!D100)</f>
        <v/>
      </c>
      <c r="E101" s="15" t="str">
        <f>IF('[1]Main Sheet'!E100="","",'[1]Main Sheet'!E100)</f>
        <v/>
      </c>
      <c r="F101" s="15" t="str">
        <f>IF('[1]Main Sheet'!I100="","",'[1]Main Sheet'!I100)</f>
        <v/>
      </c>
      <c r="G101" s="15" t="str">
        <f>IF('[1]Main Sheet'!L100="","",'[1]Main Sheet'!L100)</f>
        <v/>
      </c>
      <c r="H101" s="20" t="str">
        <f>IF(F101&lt;&gt;"",IF(IF(G101="Fresh",IF('JDL Misc Income'!F101&lt;&gt;"",'JDL Misc Income'!F101*'JDL PROCESSING FEES MASTER'!F$10,""),IF('JDL Misc Income'!F101&lt;&gt;"",'JDL Misc Income'!F101*'JDL PROCESSING FEES MASTER'!F$14,""))&gt;'JDL PROCESSING FEES MASTER'!G$10,'JDL PROCESSING FEES MASTER'!G$10,IF(G101="Fresh",IF('JDL Misc Income'!F101&lt;&gt;"",'JDL Misc Income'!F101*'JDL PROCESSING FEES MASTER'!F$10,""),IF('JDL Misc Income'!F101&lt;&gt;"",'JDL Misc Income'!F101*'JDL PROCESSING FEES MASTER'!F$14,""))),"")</f>
        <v/>
      </c>
      <c r="I101" s="20" t="str">
        <f>IF(F101&lt;&gt;"",IF(IF(G101="Fresh",IF('JDL Misc Income'!F101&lt;&gt;"",'JDL Misc Income'!F101*'JDL PROCESSING FEES MASTER'!F$10,""),IF('JDL Misc Income'!F101&lt;&gt;"",'JDL Misc Income'!F101*'JDL PROCESSING FEES MASTER'!F$14,""))&gt;'JDL PROCESSING FEES MASTER'!G$8,'JDL PROCESSING FEES MASTER'!G$8,IF(G101="Fresh",IF('JDL Misc Income'!F101&lt;&gt;"",'JDL Misc Income'!F101*'JDL PROCESSING FEES MASTER'!F$10,""),IF('JDL Misc Income'!F101&lt;&gt;"",'JDL Misc Income'!F101*'JDL PROCESSING FEES MASTER'!F$14,""))),"")</f>
        <v/>
      </c>
      <c r="J101" s="20" t="str">
        <f t="shared" si="1"/>
        <v/>
      </c>
    </row>
    <row r="102" spans="1:10" ht="38.25" customHeight="1" x14ac:dyDescent="0.3">
      <c r="A102" s="1">
        <v>97</v>
      </c>
      <c r="B102" s="15" t="str">
        <f>IF('[1]Main Sheet'!C101="","",358)</f>
        <v/>
      </c>
      <c r="C102" s="16" t="str">
        <f>IF('[1]Main Sheet'!C101="","",'[1]Main Sheet'!C101)</f>
        <v/>
      </c>
      <c r="D102" s="17" t="str">
        <f>IF('[1]Main Sheet'!D101="","",'[1]Main Sheet'!D101)</f>
        <v/>
      </c>
      <c r="E102" s="15" t="str">
        <f>IF('[1]Main Sheet'!E101="","",'[1]Main Sheet'!E101)</f>
        <v/>
      </c>
      <c r="F102" s="15" t="str">
        <f>IF('[1]Main Sheet'!I101="","",'[1]Main Sheet'!I101)</f>
        <v/>
      </c>
      <c r="G102" s="15" t="str">
        <f>IF('[1]Main Sheet'!L101="","",'[1]Main Sheet'!L101)</f>
        <v/>
      </c>
      <c r="H102" s="20" t="str">
        <f>IF(F102&lt;&gt;"",IF(IF(G102="Fresh",IF('JDL Misc Income'!F102&lt;&gt;"",'JDL Misc Income'!F102*'JDL PROCESSING FEES MASTER'!F$10,""),IF('JDL Misc Income'!F102&lt;&gt;"",'JDL Misc Income'!F102*'JDL PROCESSING FEES MASTER'!F$14,""))&gt;'JDL PROCESSING FEES MASTER'!G$10,'JDL PROCESSING FEES MASTER'!G$10,IF(G102="Fresh",IF('JDL Misc Income'!F102&lt;&gt;"",'JDL Misc Income'!F102*'JDL PROCESSING FEES MASTER'!F$10,""),IF('JDL Misc Income'!F102&lt;&gt;"",'JDL Misc Income'!F102*'JDL PROCESSING FEES MASTER'!F$14,""))),"")</f>
        <v/>
      </c>
      <c r="I102" s="20" t="str">
        <f>IF(F102&lt;&gt;"",IF(IF(G102="Fresh",IF('JDL Misc Income'!F102&lt;&gt;"",'JDL Misc Income'!F102*'JDL PROCESSING FEES MASTER'!F$10,""),IF('JDL Misc Income'!F102&lt;&gt;"",'JDL Misc Income'!F102*'JDL PROCESSING FEES MASTER'!F$14,""))&gt;'JDL PROCESSING FEES MASTER'!G$8,'JDL PROCESSING FEES MASTER'!G$8,IF(G102="Fresh",IF('JDL Misc Income'!F102&lt;&gt;"",'JDL Misc Income'!F102*'JDL PROCESSING FEES MASTER'!F$10,""),IF('JDL Misc Income'!F102&lt;&gt;"",'JDL Misc Income'!F102*'JDL PROCESSING FEES MASTER'!F$14,""))),"")</f>
        <v/>
      </c>
      <c r="J102" s="20" t="str">
        <f t="shared" si="1"/>
        <v/>
      </c>
    </row>
    <row r="103" spans="1:10" ht="38.25" customHeight="1" x14ac:dyDescent="0.3">
      <c r="A103" s="1">
        <v>98</v>
      </c>
      <c r="B103" s="15" t="str">
        <f>IF('[1]Main Sheet'!C102="","",358)</f>
        <v/>
      </c>
      <c r="C103" s="16" t="str">
        <f>IF('[1]Main Sheet'!C102="","",'[1]Main Sheet'!C102)</f>
        <v/>
      </c>
      <c r="D103" s="17" t="str">
        <f>IF('[1]Main Sheet'!D102="","",'[1]Main Sheet'!D102)</f>
        <v/>
      </c>
      <c r="E103" s="15" t="str">
        <f>IF('[1]Main Sheet'!E102="","",'[1]Main Sheet'!E102)</f>
        <v/>
      </c>
      <c r="F103" s="15" t="str">
        <f>IF('[1]Main Sheet'!I102="","",'[1]Main Sheet'!I102)</f>
        <v/>
      </c>
      <c r="G103" s="15" t="str">
        <f>IF('[1]Main Sheet'!L102="","",'[1]Main Sheet'!L102)</f>
        <v/>
      </c>
      <c r="H103" s="20" t="str">
        <f>IF(F103&lt;&gt;"",IF(IF(G103="Fresh",IF('JDL Misc Income'!F103&lt;&gt;"",'JDL Misc Income'!F103*'JDL PROCESSING FEES MASTER'!F$10,""),IF('JDL Misc Income'!F103&lt;&gt;"",'JDL Misc Income'!F103*'JDL PROCESSING FEES MASTER'!F$14,""))&gt;'JDL PROCESSING FEES MASTER'!G$10,'JDL PROCESSING FEES MASTER'!G$10,IF(G103="Fresh",IF('JDL Misc Income'!F103&lt;&gt;"",'JDL Misc Income'!F103*'JDL PROCESSING FEES MASTER'!F$10,""),IF('JDL Misc Income'!F103&lt;&gt;"",'JDL Misc Income'!F103*'JDL PROCESSING FEES MASTER'!F$14,""))),"")</f>
        <v/>
      </c>
      <c r="I103" s="20" t="str">
        <f>IF(F103&lt;&gt;"",IF(IF(G103="Fresh",IF('JDL Misc Income'!F103&lt;&gt;"",'JDL Misc Income'!F103*'JDL PROCESSING FEES MASTER'!F$10,""),IF('JDL Misc Income'!F103&lt;&gt;"",'JDL Misc Income'!F103*'JDL PROCESSING FEES MASTER'!F$14,""))&gt;'JDL PROCESSING FEES MASTER'!G$8,'JDL PROCESSING FEES MASTER'!G$8,IF(G103="Fresh",IF('JDL Misc Income'!F103&lt;&gt;"",'JDL Misc Income'!F103*'JDL PROCESSING FEES MASTER'!F$10,""),IF('JDL Misc Income'!F103&lt;&gt;"",'JDL Misc Income'!F103*'JDL PROCESSING FEES MASTER'!F$14,""))),"")</f>
        <v/>
      </c>
      <c r="J103" s="20" t="str">
        <f t="shared" si="1"/>
        <v/>
      </c>
    </row>
    <row r="104" spans="1:10" ht="38.25" customHeight="1" x14ac:dyDescent="0.3">
      <c r="A104" s="1">
        <v>99</v>
      </c>
      <c r="B104" s="15" t="str">
        <f>IF('[1]Main Sheet'!C103="","",358)</f>
        <v/>
      </c>
      <c r="C104" s="16" t="str">
        <f>IF('[1]Main Sheet'!C103="","",'[1]Main Sheet'!C103)</f>
        <v/>
      </c>
      <c r="D104" s="17" t="str">
        <f>IF('[1]Main Sheet'!D103="","",'[1]Main Sheet'!D103)</f>
        <v/>
      </c>
      <c r="E104" s="15" t="str">
        <f>IF('[1]Main Sheet'!E103="","",'[1]Main Sheet'!E103)</f>
        <v/>
      </c>
      <c r="F104" s="15" t="str">
        <f>IF('[1]Main Sheet'!I103="","",'[1]Main Sheet'!I103)</f>
        <v/>
      </c>
      <c r="G104" s="15" t="str">
        <f>IF('[1]Main Sheet'!L103="","",'[1]Main Sheet'!L103)</f>
        <v/>
      </c>
      <c r="H104" s="20" t="str">
        <f>IF(F104&lt;&gt;"",IF(IF(G104="Fresh",IF('JDL Misc Income'!F104&lt;&gt;"",'JDL Misc Income'!F104*'JDL PROCESSING FEES MASTER'!F$10,""),IF('JDL Misc Income'!F104&lt;&gt;"",'JDL Misc Income'!F104*'JDL PROCESSING FEES MASTER'!F$14,""))&gt;'JDL PROCESSING FEES MASTER'!G$10,'JDL PROCESSING FEES MASTER'!G$10,IF(G104="Fresh",IF('JDL Misc Income'!F104&lt;&gt;"",'JDL Misc Income'!F104*'JDL PROCESSING FEES MASTER'!F$10,""),IF('JDL Misc Income'!F104&lt;&gt;"",'JDL Misc Income'!F104*'JDL PROCESSING FEES MASTER'!F$14,""))),"")</f>
        <v/>
      </c>
      <c r="I104" s="20" t="str">
        <f>IF(F104&lt;&gt;"",IF(IF(G104="Fresh",IF('JDL Misc Income'!F104&lt;&gt;"",'JDL Misc Income'!F104*'JDL PROCESSING FEES MASTER'!F$10,""),IF('JDL Misc Income'!F104&lt;&gt;"",'JDL Misc Income'!F104*'JDL PROCESSING FEES MASTER'!F$14,""))&gt;'JDL PROCESSING FEES MASTER'!G$8,'JDL PROCESSING FEES MASTER'!G$8,IF(G104="Fresh",IF('JDL Misc Income'!F104&lt;&gt;"",'JDL Misc Income'!F104*'JDL PROCESSING FEES MASTER'!F$10,""),IF('JDL Misc Income'!F104&lt;&gt;"",'JDL Misc Income'!F104*'JDL PROCESSING FEES MASTER'!F$14,""))),"")</f>
        <v/>
      </c>
      <c r="J104" s="20" t="str">
        <f t="shared" si="1"/>
        <v/>
      </c>
    </row>
    <row r="105" spans="1:10" ht="38.25" customHeight="1" thickBot="1" x14ac:dyDescent="0.35">
      <c r="A105" s="2">
        <v>100</v>
      </c>
      <c r="B105" s="15" t="str">
        <f>IF('[1]Main Sheet'!C104="","",358)</f>
        <v/>
      </c>
      <c r="C105" s="16" t="str">
        <f>IF('[1]Main Sheet'!C104="","",'[1]Main Sheet'!C104)</f>
        <v/>
      </c>
      <c r="D105" s="17" t="str">
        <f>IF('[1]Main Sheet'!D104="","",'[1]Main Sheet'!D104)</f>
        <v/>
      </c>
      <c r="E105" s="15" t="str">
        <f>IF('[1]Main Sheet'!E104="","",'[1]Main Sheet'!E104)</f>
        <v/>
      </c>
      <c r="F105" s="15" t="str">
        <f>IF('[1]Main Sheet'!I104="","",'[1]Main Sheet'!I104)</f>
        <v/>
      </c>
      <c r="G105" s="15" t="str">
        <f>IF('[1]Main Sheet'!L104="","",'[1]Main Sheet'!L104)</f>
        <v/>
      </c>
      <c r="H105" s="20" t="str">
        <f>IF(F105&lt;&gt;"",IF(IF(G105="Fresh",IF('JDL Misc Income'!F105&lt;&gt;"",'JDL Misc Income'!F105*'JDL PROCESSING FEES MASTER'!F$10,""),IF('JDL Misc Income'!F105&lt;&gt;"",'JDL Misc Income'!F105*'JDL PROCESSING FEES MASTER'!F$14,""))&gt;'JDL PROCESSING FEES MASTER'!G$10,'JDL PROCESSING FEES MASTER'!G$10,IF(G105="Fresh",IF('JDL Misc Income'!F105&lt;&gt;"",'JDL Misc Income'!F105*'JDL PROCESSING FEES MASTER'!F$10,""),IF('JDL Misc Income'!F105&lt;&gt;"",'JDL Misc Income'!F105*'JDL PROCESSING FEES MASTER'!F$14,""))),"")</f>
        <v/>
      </c>
      <c r="I105" s="20" t="str">
        <f>IF(F105&lt;&gt;"",IF(IF(G105="Fresh",IF('JDL Misc Income'!F105&lt;&gt;"",'JDL Misc Income'!F105*'JDL PROCESSING FEES MASTER'!F$10,""),IF('JDL Misc Income'!F105&lt;&gt;"",'JDL Misc Income'!F105*'JDL PROCESSING FEES MASTER'!F$14,""))&gt;'JDL PROCESSING FEES MASTER'!G$8,'JDL PROCESSING FEES MASTER'!G$8,IF(G105="Fresh",IF('JDL Misc Income'!F105&lt;&gt;"",'JDL Misc Income'!F105*'JDL PROCESSING FEES MASTER'!F$10,""),IF('JDL Misc Income'!F105&lt;&gt;"",'JDL Misc Income'!F105*'JDL PROCESSING FEES MASTER'!F$14,""))),"")</f>
        <v/>
      </c>
      <c r="J105" s="20" t="str">
        <f t="shared" si="1"/>
        <v/>
      </c>
    </row>
  </sheetData>
  <sheetProtection sheet="1" objects="1" scenarios="1"/>
  <mergeCells count="5">
    <mergeCell ref="B5:D5"/>
    <mergeCell ref="A4:J4"/>
    <mergeCell ref="A2:J2"/>
    <mergeCell ref="A1:J1"/>
    <mergeCell ref="A3:J3"/>
  </mergeCells>
  <pageMargins left="0.7" right="0.7" top="0.75" bottom="0.75" header="0.3" footer="0.3"/>
  <pageSetup paperSize="120" orientation="portrait" horizontalDpi="120" verticalDpi="14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117EE-D639-4F92-8C15-E9D84A5CD00C}">
  <dimension ref="A1:J38"/>
  <sheetViews>
    <sheetView tabSelected="1" zoomScale="85" zoomScaleNormal="85" workbookViewId="0">
      <selection activeCell="J29" sqref="J29"/>
    </sheetView>
  </sheetViews>
  <sheetFormatPr defaultRowHeight="14.4" x14ac:dyDescent="0.3"/>
  <cols>
    <col min="1" max="1" width="3.88671875" style="31" customWidth="1"/>
    <col min="2" max="2" width="7.6640625" style="31" customWidth="1"/>
    <col min="3" max="3" width="6.109375" style="31" customWidth="1"/>
    <col min="4" max="4" width="14.33203125" style="31" customWidth="1"/>
    <col min="5" max="5" width="25.33203125" style="31" customWidth="1"/>
    <col min="6" max="6" width="13.44140625" style="31" customWidth="1"/>
    <col min="7" max="7" width="10.6640625" style="31" customWidth="1"/>
    <col min="8" max="8" width="11.77734375" style="31" customWidth="1"/>
    <col min="9" max="9" width="12.44140625" style="31" customWidth="1"/>
    <col min="10" max="10" width="15.21875" style="31" customWidth="1"/>
  </cols>
  <sheetData>
    <row r="1" spans="1:10" ht="34.200000000000003" x14ac:dyDescent="0.3">
      <c r="A1" s="56" t="s">
        <v>0</v>
      </c>
      <c r="B1" s="56"/>
      <c r="C1" s="56"/>
      <c r="D1" s="56"/>
      <c r="E1" s="56"/>
      <c r="F1" s="56"/>
      <c r="G1" s="56"/>
      <c r="H1" s="56"/>
      <c r="I1" s="56"/>
      <c r="J1" s="56"/>
    </row>
    <row r="2" spans="1:10" ht="18.600000000000001" x14ac:dyDescent="0.3">
      <c r="A2" s="57" t="s">
        <v>1</v>
      </c>
      <c r="B2" s="57"/>
      <c r="C2" s="57"/>
      <c r="D2" s="57"/>
      <c r="E2" s="57"/>
      <c r="F2" s="57"/>
      <c r="G2" s="57"/>
      <c r="H2" s="57"/>
      <c r="I2" s="57"/>
      <c r="J2" s="57"/>
    </row>
    <row r="3" spans="1:10" ht="18.600000000000001" x14ac:dyDescent="0.3">
      <c r="A3" s="57" t="s">
        <v>9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21" thickBot="1" x14ac:dyDescent="0.35">
      <c r="A4" s="59">
        <v>41876</v>
      </c>
      <c r="B4" s="59"/>
      <c r="C4" s="59"/>
      <c r="D4" s="59"/>
      <c r="E4" s="59"/>
      <c r="F4" s="59"/>
      <c r="G4" s="59"/>
      <c r="H4" s="59"/>
      <c r="I4" s="59"/>
      <c r="J4" s="59"/>
    </row>
    <row r="5" spans="1:10" ht="100.5" customHeight="1" x14ac:dyDescent="0.3">
      <c r="A5" s="22" t="s">
        <v>2</v>
      </c>
      <c r="B5" s="58" t="s">
        <v>3</v>
      </c>
      <c r="C5" s="58"/>
      <c r="D5" s="58"/>
      <c r="E5" s="41" t="s">
        <v>4</v>
      </c>
      <c r="F5" s="41" t="s">
        <v>5</v>
      </c>
      <c r="G5" s="18" t="s">
        <v>16</v>
      </c>
      <c r="H5" s="18" t="s">
        <v>6</v>
      </c>
      <c r="I5" s="19" t="s">
        <v>7</v>
      </c>
      <c r="J5" s="19" t="s">
        <v>8</v>
      </c>
    </row>
    <row r="6" spans="1:10" ht="21" customHeight="1" x14ac:dyDescent="0.3">
      <c r="A6" s="32">
        <v>1</v>
      </c>
      <c r="B6" s="34">
        <v>358</v>
      </c>
      <c r="C6" s="36">
        <v>666</v>
      </c>
      <c r="D6" s="38">
        <v>258909</v>
      </c>
      <c r="E6" s="23" t="s">
        <v>26</v>
      </c>
      <c r="F6" s="36">
        <v>55000</v>
      </c>
      <c r="G6" s="23" t="s">
        <v>22</v>
      </c>
      <c r="H6" s="23">
        <v>82.5</v>
      </c>
      <c r="I6" s="23">
        <v>82.5</v>
      </c>
      <c r="J6" s="24">
        <v>165</v>
      </c>
    </row>
    <row r="7" spans="1:10" ht="21" customHeight="1" x14ac:dyDescent="0.3">
      <c r="A7" s="32">
        <v>2</v>
      </c>
      <c r="B7" s="34">
        <v>358</v>
      </c>
      <c r="C7" s="36">
        <v>666</v>
      </c>
      <c r="D7" s="38">
        <v>258911</v>
      </c>
      <c r="E7" s="23" t="s">
        <v>27</v>
      </c>
      <c r="F7" s="36">
        <v>40000</v>
      </c>
      <c r="G7" s="23" t="s">
        <v>22</v>
      </c>
      <c r="H7" s="23">
        <v>60</v>
      </c>
      <c r="I7" s="23">
        <v>60</v>
      </c>
      <c r="J7" s="24">
        <v>120</v>
      </c>
    </row>
    <row r="8" spans="1:10" ht="21" customHeight="1" x14ac:dyDescent="0.3">
      <c r="A8" s="32">
        <v>3</v>
      </c>
      <c r="B8" s="34">
        <v>358</v>
      </c>
      <c r="C8" s="36">
        <v>666</v>
      </c>
      <c r="D8" s="38">
        <v>258923</v>
      </c>
      <c r="E8" s="23" t="s">
        <v>28</v>
      </c>
      <c r="F8" s="36">
        <v>30000</v>
      </c>
      <c r="G8" s="23" t="s">
        <v>22</v>
      </c>
      <c r="H8" s="23">
        <v>45</v>
      </c>
      <c r="I8" s="23">
        <v>45</v>
      </c>
      <c r="J8" s="24">
        <v>90</v>
      </c>
    </row>
    <row r="9" spans="1:10" ht="21" customHeight="1" x14ac:dyDescent="0.3">
      <c r="A9" s="32">
        <v>4</v>
      </c>
      <c r="B9" s="34">
        <v>358</v>
      </c>
      <c r="C9" s="36">
        <v>666</v>
      </c>
      <c r="D9" s="38">
        <v>258930</v>
      </c>
      <c r="E9" s="23" t="s">
        <v>29</v>
      </c>
      <c r="F9" s="36">
        <v>54500</v>
      </c>
      <c r="G9" s="23" t="s">
        <v>22</v>
      </c>
      <c r="H9" s="23">
        <v>81.75</v>
      </c>
      <c r="I9" s="23">
        <v>81.75</v>
      </c>
      <c r="J9" s="24">
        <v>163.5</v>
      </c>
    </row>
    <row r="10" spans="1:10" ht="21" customHeight="1" x14ac:dyDescent="0.3">
      <c r="A10" s="32">
        <v>5</v>
      </c>
      <c r="B10" s="34">
        <v>358</v>
      </c>
      <c r="C10" s="36">
        <v>666</v>
      </c>
      <c r="D10" s="38">
        <v>258942</v>
      </c>
      <c r="E10" s="23" t="s">
        <v>28</v>
      </c>
      <c r="F10" s="36">
        <v>30000</v>
      </c>
      <c r="G10" s="23" t="s">
        <v>22</v>
      </c>
      <c r="H10" s="23">
        <v>45</v>
      </c>
      <c r="I10" s="23">
        <v>45</v>
      </c>
      <c r="J10" s="24">
        <v>90</v>
      </c>
    </row>
    <row r="11" spans="1:10" ht="21" customHeight="1" x14ac:dyDescent="0.3">
      <c r="A11" s="32">
        <v>6</v>
      </c>
      <c r="B11" s="34">
        <v>358</v>
      </c>
      <c r="C11" s="36">
        <v>666</v>
      </c>
      <c r="D11" s="38">
        <v>258954</v>
      </c>
      <c r="E11" s="23" t="s">
        <v>30</v>
      </c>
      <c r="F11" s="36">
        <v>28500</v>
      </c>
      <c r="G11" s="23" t="s">
        <v>22</v>
      </c>
      <c r="H11" s="23">
        <v>42.75</v>
      </c>
      <c r="I11" s="23">
        <v>42.75</v>
      </c>
      <c r="J11" s="24">
        <v>85.5</v>
      </c>
    </row>
    <row r="12" spans="1:10" ht="21" customHeight="1" x14ac:dyDescent="0.3">
      <c r="A12" s="32">
        <v>7</v>
      </c>
      <c r="B12" s="34">
        <v>358</v>
      </c>
      <c r="C12" s="36">
        <v>666</v>
      </c>
      <c r="D12" s="38">
        <v>258966</v>
      </c>
      <c r="E12" s="23" t="s">
        <v>31</v>
      </c>
      <c r="F12" s="36">
        <v>70000</v>
      </c>
      <c r="G12" s="23" t="s">
        <v>18</v>
      </c>
      <c r="H12" s="23">
        <v>52.5</v>
      </c>
      <c r="I12" s="23">
        <v>52.5</v>
      </c>
      <c r="J12" s="24">
        <v>105</v>
      </c>
    </row>
    <row r="13" spans="1:10" ht="21" customHeight="1" x14ac:dyDescent="0.3">
      <c r="A13" s="32">
        <v>8</v>
      </c>
      <c r="B13" s="34">
        <v>358</v>
      </c>
      <c r="C13" s="36">
        <v>666</v>
      </c>
      <c r="D13" s="38">
        <v>258978</v>
      </c>
      <c r="E13" s="23" t="s">
        <v>25</v>
      </c>
      <c r="F13" s="36">
        <v>30000</v>
      </c>
      <c r="G13" s="23" t="s">
        <v>22</v>
      </c>
      <c r="H13" s="23">
        <v>45</v>
      </c>
      <c r="I13" s="23">
        <v>45</v>
      </c>
      <c r="J13" s="24">
        <v>90</v>
      </c>
    </row>
    <row r="14" spans="1:10" ht="21" customHeight="1" x14ac:dyDescent="0.3">
      <c r="A14" s="32">
        <v>9</v>
      </c>
      <c r="B14" s="34">
        <v>358</v>
      </c>
      <c r="C14" s="36">
        <v>666</v>
      </c>
      <c r="D14" s="38">
        <v>258980</v>
      </c>
      <c r="E14" s="23" t="s">
        <v>24</v>
      </c>
      <c r="F14" s="36">
        <v>40500</v>
      </c>
      <c r="G14" s="23" t="s">
        <v>22</v>
      </c>
      <c r="H14" s="23">
        <v>60.75</v>
      </c>
      <c r="I14" s="23">
        <v>60.75</v>
      </c>
      <c r="J14" s="24">
        <v>121.5</v>
      </c>
    </row>
    <row r="15" spans="1:10" ht="21" customHeight="1" x14ac:dyDescent="0.3">
      <c r="A15" s="32">
        <v>10</v>
      </c>
      <c r="B15" s="34">
        <v>358</v>
      </c>
      <c r="C15" s="36">
        <v>666</v>
      </c>
      <c r="D15" s="38">
        <v>258992</v>
      </c>
      <c r="E15" s="23" t="s">
        <v>32</v>
      </c>
      <c r="F15" s="36">
        <v>40000</v>
      </c>
      <c r="G15" s="23" t="s">
        <v>22</v>
      </c>
      <c r="H15" s="23">
        <v>60</v>
      </c>
      <c r="I15" s="23">
        <v>60</v>
      </c>
      <c r="J15" s="24">
        <v>120</v>
      </c>
    </row>
    <row r="16" spans="1:10" ht="21" customHeight="1" x14ac:dyDescent="0.3">
      <c r="A16" s="32">
        <v>11</v>
      </c>
      <c r="B16" s="34">
        <v>358</v>
      </c>
      <c r="C16" s="36">
        <v>666</v>
      </c>
      <c r="D16" s="38">
        <v>259009</v>
      </c>
      <c r="E16" s="23" t="s">
        <v>33</v>
      </c>
      <c r="F16" s="36">
        <v>33000</v>
      </c>
      <c r="G16" s="23" t="s">
        <v>18</v>
      </c>
      <c r="H16" s="23">
        <v>24.75</v>
      </c>
      <c r="I16" s="23">
        <v>24.75</v>
      </c>
      <c r="J16" s="24">
        <v>49.5</v>
      </c>
    </row>
    <row r="17" spans="1:10" ht="21" customHeight="1" x14ac:dyDescent="0.3">
      <c r="A17" s="32">
        <v>12</v>
      </c>
      <c r="B17" s="34">
        <v>358</v>
      </c>
      <c r="C17" s="36">
        <v>666</v>
      </c>
      <c r="D17" s="38">
        <v>259011</v>
      </c>
      <c r="E17" s="23" t="s">
        <v>34</v>
      </c>
      <c r="F17" s="36">
        <v>22500</v>
      </c>
      <c r="G17" s="23" t="s">
        <v>22</v>
      </c>
      <c r="H17" s="23">
        <v>33.75</v>
      </c>
      <c r="I17" s="23">
        <v>33.75</v>
      </c>
      <c r="J17" s="24">
        <v>67.5</v>
      </c>
    </row>
    <row r="18" spans="1:10" ht="21" customHeight="1" x14ac:dyDescent="0.3">
      <c r="A18" s="32">
        <v>13</v>
      </c>
      <c r="B18" s="34">
        <v>358</v>
      </c>
      <c r="C18" s="36">
        <v>666</v>
      </c>
      <c r="D18" s="38">
        <v>259023</v>
      </c>
      <c r="E18" s="23" t="s">
        <v>35</v>
      </c>
      <c r="F18" s="36">
        <v>40000</v>
      </c>
      <c r="G18" s="23" t="s">
        <v>22</v>
      </c>
      <c r="H18" s="23">
        <v>60</v>
      </c>
      <c r="I18" s="23">
        <v>60</v>
      </c>
      <c r="J18" s="24">
        <v>120</v>
      </c>
    </row>
    <row r="19" spans="1:10" ht="21" customHeight="1" x14ac:dyDescent="0.3">
      <c r="A19" s="32">
        <v>14</v>
      </c>
      <c r="B19" s="34">
        <v>358</v>
      </c>
      <c r="C19" s="36">
        <v>666</v>
      </c>
      <c r="D19" s="38" t="s">
        <v>36</v>
      </c>
      <c r="E19" s="23" t="s">
        <v>36</v>
      </c>
      <c r="F19" s="36" t="s">
        <v>36</v>
      </c>
      <c r="G19" s="23" t="s">
        <v>18</v>
      </c>
      <c r="H19" s="23" t="s">
        <v>36</v>
      </c>
      <c r="I19" s="23" t="s">
        <v>36</v>
      </c>
      <c r="J19" s="24" t="s">
        <v>36</v>
      </c>
    </row>
    <row r="20" spans="1:10" ht="21" customHeight="1" x14ac:dyDescent="0.3">
      <c r="A20" s="32">
        <v>15</v>
      </c>
      <c r="B20" s="34">
        <v>358</v>
      </c>
      <c r="C20" s="36">
        <v>666</v>
      </c>
      <c r="D20" s="38" t="s">
        <v>36</v>
      </c>
      <c r="E20" s="23" t="s">
        <v>36</v>
      </c>
      <c r="F20" s="36" t="s">
        <v>36</v>
      </c>
      <c r="G20" s="23" t="s">
        <v>18</v>
      </c>
      <c r="H20" s="23" t="s">
        <v>36</v>
      </c>
      <c r="I20" s="23" t="s">
        <v>36</v>
      </c>
      <c r="J20" s="24" t="s">
        <v>36</v>
      </c>
    </row>
    <row r="21" spans="1:10" ht="21" customHeight="1" x14ac:dyDescent="0.3">
      <c r="A21" s="32">
        <v>16</v>
      </c>
      <c r="B21" s="34" t="s">
        <v>36</v>
      </c>
      <c r="C21" s="36" t="s">
        <v>36</v>
      </c>
      <c r="D21" s="38" t="s">
        <v>36</v>
      </c>
      <c r="E21" s="23" t="s">
        <v>36</v>
      </c>
      <c r="F21" s="36" t="s">
        <v>36</v>
      </c>
      <c r="G21" s="23" t="s">
        <v>22</v>
      </c>
      <c r="H21" s="23" t="s">
        <v>36</v>
      </c>
      <c r="I21" s="23" t="s">
        <v>36</v>
      </c>
      <c r="J21" s="24" t="s">
        <v>36</v>
      </c>
    </row>
    <row r="22" spans="1:10" ht="21" customHeight="1" x14ac:dyDescent="0.3">
      <c r="A22" s="32">
        <v>17</v>
      </c>
      <c r="B22" s="34" t="s">
        <v>36</v>
      </c>
      <c r="C22" s="36" t="s">
        <v>36</v>
      </c>
      <c r="D22" s="38" t="s">
        <v>36</v>
      </c>
      <c r="E22" s="23" t="s">
        <v>36</v>
      </c>
      <c r="F22" s="36" t="s">
        <v>36</v>
      </c>
      <c r="G22" s="23" t="s">
        <v>22</v>
      </c>
      <c r="H22" s="23" t="s">
        <v>36</v>
      </c>
      <c r="I22" s="23" t="s">
        <v>36</v>
      </c>
      <c r="J22" s="24" t="s">
        <v>36</v>
      </c>
    </row>
    <row r="23" spans="1:10" ht="21" customHeight="1" x14ac:dyDescent="0.3">
      <c r="A23" s="32">
        <v>18</v>
      </c>
      <c r="B23" s="34" t="s">
        <v>36</v>
      </c>
      <c r="C23" s="36" t="s">
        <v>36</v>
      </c>
      <c r="D23" s="38" t="s">
        <v>36</v>
      </c>
      <c r="E23" s="23" t="s">
        <v>36</v>
      </c>
      <c r="F23" s="36" t="s">
        <v>36</v>
      </c>
      <c r="G23" s="23" t="s">
        <v>22</v>
      </c>
      <c r="H23" s="23" t="s">
        <v>36</v>
      </c>
      <c r="I23" s="23" t="s">
        <v>36</v>
      </c>
      <c r="J23" s="24" t="s">
        <v>36</v>
      </c>
    </row>
    <row r="24" spans="1:10" ht="21" customHeight="1" x14ac:dyDescent="0.3">
      <c r="A24" s="32">
        <v>19</v>
      </c>
      <c r="B24" s="34" t="s">
        <v>36</v>
      </c>
      <c r="C24" s="36" t="s">
        <v>36</v>
      </c>
      <c r="D24" s="38" t="s">
        <v>36</v>
      </c>
      <c r="E24" s="23" t="s">
        <v>36</v>
      </c>
      <c r="F24" s="36" t="s">
        <v>36</v>
      </c>
      <c r="G24" s="23" t="s">
        <v>22</v>
      </c>
      <c r="H24" s="23" t="s">
        <v>36</v>
      </c>
      <c r="I24" s="23" t="s">
        <v>36</v>
      </c>
      <c r="J24" s="24" t="s">
        <v>36</v>
      </c>
    </row>
    <row r="25" spans="1:10" ht="21" customHeight="1" x14ac:dyDescent="0.3">
      <c r="A25" s="32">
        <v>20</v>
      </c>
      <c r="B25" s="34" t="s">
        <v>36</v>
      </c>
      <c r="C25" s="36" t="s">
        <v>36</v>
      </c>
      <c r="D25" s="38" t="s">
        <v>36</v>
      </c>
      <c r="E25" s="23" t="s">
        <v>36</v>
      </c>
      <c r="F25" s="36" t="s">
        <v>36</v>
      </c>
      <c r="G25" s="23" t="s">
        <v>22</v>
      </c>
      <c r="H25" s="23" t="s">
        <v>36</v>
      </c>
      <c r="I25" s="23" t="s">
        <v>36</v>
      </c>
      <c r="J25" s="24" t="s">
        <v>36</v>
      </c>
    </row>
    <row r="26" spans="1:10" ht="21" customHeight="1" x14ac:dyDescent="0.3">
      <c r="A26" s="32"/>
      <c r="B26" s="34"/>
      <c r="C26" s="36"/>
      <c r="D26" s="38"/>
      <c r="E26" s="23"/>
      <c r="F26" s="36"/>
      <c r="G26" s="23"/>
      <c r="H26" s="23"/>
      <c r="I26" s="23"/>
      <c r="J26" s="24"/>
    </row>
    <row r="27" spans="1:10" ht="21" customHeight="1" x14ac:dyDescent="0.3">
      <c r="A27" s="32"/>
      <c r="B27" s="34"/>
      <c r="C27" s="36"/>
      <c r="D27" s="38"/>
      <c r="E27" s="23"/>
      <c r="F27" s="40"/>
      <c r="G27" s="25"/>
      <c r="H27" s="25"/>
      <c r="I27" s="25"/>
      <c r="J27" s="26"/>
    </row>
    <row r="28" spans="1:10" ht="21" customHeight="1" thickBot="1" x14ac:dyDescent="0.35">
      <c r="A28" s="33"/>
      <c r="B28" s="35"/>
      <c r="C28" s="37"/>
      <c r="D28" s="39"/>
      <c r="E28" s="27"/>
      <c r="F28" s="55" t="s">
        <v>23</v>
      </c>
      <c r="G28" s="60"/>
      <c r="H28" s="28">
        <f>SUM(H6:H27)</f>
        <v>693.75</v>
      </c>
      <c r="I28" s="28">
        <f>SUM(I6:I27)</f>
        <v>693.75</v>
      </c>
      <c r="J28" s="29">
        <f>SUM(J6:J27)</f>
        <v>1387.5</v>
      </c>
    </row>
    <row r="29" spans="1:10" ht="21" customHeight="1" x14ac:dyDescent="0.35">
      <c r="A29" s="30"/>
      <c r="B29" s="30"/>
      <c r="C29" s="30"/>
      <c r="D29" s="30"/>
      <c r="E29" s="30"/>
      <c r="F29" s="30"/>
      <c r="G29" s="30"/>
      <c r="H29" s="30"/>
      <c r="I29" s="30"/>
      <c r="J29" s="30"/>
    </row>
    <row r="30" spans="1:10" ht="21" customHeight="1" x14ac:dyDescent="0.3"/>
    <row r="31" spans="1:10" ht="21" customHeight="1" x14ac:dyDescent="0.3">
      <c r="A31" s="54" t="s">
        <v>19</v>
      </c>
      <c r="B31" s="54"/>
      <c r="C31" s="54"/>
      <c r="D31" s="54"/>
      <c r="F31" s="54" t="s">
        <v>20</v>
      </c>
      <c r="G31" s="54"/>
      <c r="H31" s="54"/>
      <c r="I31" s="54"/>
      <c r="J31" s="54"/>
    </row>
    <row r="32" spans="1:10" ht="21" customHeight="1" x14ac:dyDescent="0.3"/>
    <row r="33" spans="8:10" ht="21" customHeight="1" x14ac:dyDescent="0.3">
      <c r="H33" s="54" t="s">
        <v>21</v>
      </c>
      <c r="I33" s="54"/>
      <c r="J33" s="54"/>
    </row>
    <row r="34" spans="8:10" ht="21" customHeight="1" x14ac:dyDescent="0.3"/>
    <row r="35" spans="8:10" ht="21" customHeight="1" x14ac:dyDescent="0.3"/>
    <row r="36" spans="8:10" ht="21" customHeight="1" x14ac:dyDescent="0.3"/>
    <row r="37" spans="8:10" ht="21" customHeight="1" x14ac:dyDescent="0.3"/>
    <row r="38" spans="8:10" ht="21" customHeight="1" x14ac:dyDescent="0.3"/>
  </sheetData>
  <mergeCells count="9">
    <mergeCell ref="H33:J33"/>
    <mergeCell ref="F28:G28"/>
    <mergeCell ref="A1:J1"/>
    <mergeCell ref="A2:J2"/>
    <mergeCell ref="A3:J3"/>
    <mergeCell ref="A4:J4"/>
    <mergeCell ref="B5:D5"/>
    <mergeCell ref="A31:D31"/>
    <mergeCell ref="F31:J31"/>
  </mergeCells>
  <pageMargins left="3.937007874015748E-2" right="0.78740157480314965" top="0.82677165354330717" bottom="0.82677165354330717" header="0.31496062992125984" footer="0.31496062992125984"/>
  <pageSetup paperSize="9" scale="7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JDL PROCESSING FEES MASTER</vt:lpstr>
      <vt:lpstr>JDL Misc Income</vt:lpstr>
      <vt:lpstr>JDL Income Page - 1</vt:lpstr>
    </vt:vector>
  </TitlesOfParts>
  <Company>lvb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Gnanasekar M.</dc:creator>
  <cp:lastModifiedBy>Gnanasekar M</cp:lastModifiedBy>
  <cp:lastPrinted>2014-08-25T09:51:23Z</cp:lastPrinted>
  <dcterms:created xsi:type="dcterms:W3CDTF">2014-06-16T12:24:28Z</dcterms:created>
  <dcterms:modified xsi:type="dcterms:W3CDTF">2024-02-26T05:07:08Z</dcterms:modified>
</cp:coreProperties>
</file>